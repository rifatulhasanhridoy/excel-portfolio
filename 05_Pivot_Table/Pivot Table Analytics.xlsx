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 Portfolio\05_Pivot_Table\"/>
    </mc:Choice>
  </mc:AlternateContent>
  <xr:revisionPtr revIDLastSave="0" documentId="13_ncr:1_{6E370ED0-F7C0-4818-B759-8156085EFD03}" xr6:coauthVersionLast="47" xr6:coauthVersionMax="47" xr10:uidLastSave="{00000000-0000-0000-0000-000000000000}"/>
  <bookViews>
    <workbookView xWindow="-120" yWindow="-120" windowWidth="29040" windowHeight="15840" firstSheet="3" activeTab="10" xr2:uid="{00000000-000D-0000-FFFF-FFFF00000000}"/>
  </bookViews>
  <sheets>
    <sheet name="Pivot Table" sheetId="1" r:id="rId1"/>
    <sheet name="Time Line" sheetId="13" r:id="rId2"/>
    <sheet name="Pivot Chart" sheetId="11" r:id="rId3"/>
    <sheet name="Slicer" sheetId="10" r:id="rId4"/>
    <sheet name="Grouping | Custom Grouping" sheetId="5" r:id="rId5"/>
    <sheet name="Show Value As" sheetId="15" r:id="rId6"/>
    <sheet name="Calculated Field" sheetId="6" r:id="rId7"/>
    <sheet name="Pivot Table Options" sheetId="14" r:id="rId8"/>
    <sheet name="Filters" sheetId="17" r:id="rId9"/>
    <sheet name="Dynamic Pivot Table" sheetId="18" r:id="rId10"/>
    <sheet name="GetPivotData" sheetId="25" r:id="rId11"/>
  </sheets>
  <definedNames>
    <definedName name="dt">OFFSET('Dynamic Pivot Table'!$A$1,0,0,COUNTA('Dynamic Pivot Table'!XFD:XFD),COUNTA('Dynamic Pivot Table'!1048561:1048561))</definedName>
    <definedName name="DynamicRange">OFFSET('Dynamic Pivot Table'!$A$1,0,0,COUNTA('Dynamic Pivot Table'!$A:$A),COUNTA('Dynamic Pivot Table'!$1:$1))</definedName>
    <definedName name="NativeTimeline_Order_Date">#N/A</definedName>
    <definedName name="Slicer_Country">#N/A</definedName>
    <definedName name="Slicer_Region">#N/A</definedName>
  </definedNames>
  <calcPr calcId="191029"/>
  <pivotCaches>
    <pivotCache cacheId="7"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0" i="25" l="1" a="1"/>
  <c r="J10" i="25" s="1"/>
  <c r="J2" i="25" a="1"/>
  <c r="J2" i="25" s="1"/>
  <c r="M7" i="1" a="1"/>
  <c r="M7" i="1" s="1"/>
  <c r="M8" i="1"/>
  <c r="O24"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A84A0B-0B1A-4F79-8C1D-67A3932CA118}" keepAlive="1" name="Query - Append" description="Connection to the 'Append' query in the workbook." type="5" refreshedVersion="7" background="1" saveData="1">
    <dbPr connection="Provider=Microsoft.Mashup.OleDb.1;Data Source=$Workbook$;Location=Append;Extended Properties=&quot;&quot;" command="SELECT * FROM [Append]"/>
  </connection>
  <connection id="2" xr16:uid="{C7113875-4BB4-4AAD-997A-771FFF04E17A}" keepAlive="1" name="Query - Feb" description="Connection to the 'Feb' query in the workbook." type="5" refreshedVersion="0" background="1">
    <dbPr connection="Provider=Microsoft.Mashup.OleDb.1;Data Source=$Workbook$;Location=Feb;Extended Properties=&quot;&quot;" command="SELECT * FROM [Feb]"/>
  </connection>
  <connection id="3" xr16:uid="{4FB0CAD8-B9CD-420C-89A1-E77E01CB3464}" keepAlive="1" name="Query - Jan" description="Connection to the 'Jan' query in the workbook." type="5" refreshedVersion="0" background="1">
    <dbPr connection="Provider=Microsoft.Mashup.OleDb.1;Data Source=$Workbook$;Location=Jan;Extended Properties=&quot;&quot;" command="SELECT * FROM [Ja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<sst xmlns="http://schemas.openxmlformats.org/spreadsheetml/2006/main" count="3644" uniqueCount="1119">
  <si>
    <t>Order ID</t>
  </si>
  <si>
    <t>Order Date</t>
  </si>
  <si>
    <t>Customer Name</t>
  </si>
  <si>
    <t>Country</t>
  </si>
  <si>
    <t>State</t>
  </si>
  <si>
    <t>City</t>
  </si>
  <si>
    <t>Region</t>
  </si>
  <si>
    <t>Sales</t>
  </si>
  <si>
    <t>Profit</t>
  </si>
  <si>
    <t>KL-2018-5607253</t>
  </si>
  <si>
    <t>Bruno Livingston</t>
  </si>
  <si>
    <t>Sweden</t>
  </si>
  <si>
    <t>Stockholm</t>
  </si>
  <si>
    <t>Solna</t>
  </si>
  <si>
    <t>North</t>
  </si>
  <si>
    <t>KL-2018-5607492</t>
  </si>
  <si>
    <t>Stella Porter</t>
  </si>
  <si>
    <t>Spain</t>
  </si>
  <si>
    <t>Valenciana</t>
  </si>
  <si>
    <t>Gandia</t>
  </si>
  <si>
    <t>South</t>
  </si>
  <si>
    <t>KL-2018-5607062</t>
  </si>
  <si>
    <t>Abbot Kane</t>
  </si>
  <si>
    <t>Belgium</t>
  </si>
  <si>
    <t>Flemish Brabant</t>
  </si>
  <si>
    <t>Mechelen</t>
  </si>
  <si>
    <t>Central</t>
  </si>
  <si>
    <t>KL-2018-5607055</t>
  </si>
  <si>
    <t>Kiona Livingston</t>
  </si>
  <si>
    <t>Austria</t>
  </si>
  <si>
    <t>Vienna</t>
  </si>
  <si>
    <t>KL-2018-5607366</t>
  </si>
  <si>
    <t>Bruno Lindqvist</t>
  </si>
  <si>
    <t>Netherlands</t>
  </si>
  <si>
    <t>South Holland</t>
  </si>
  <si>
    <t>The Hague</t>
  </si>
  <si>
    <t>KL-2018-5607354</t>
  </si>
  <si>
    <t>Bruno Nakamura</t>
  </si>
  <si>
    <t>Poland</t>
  </si>
  <si>
    <t>Lesser Poland</t>
  </si>
  <si>
    <t>Krakow</t>
  </si>
  <si>
    <t>KL-2018-5607311</t>
  </si>
  <si>
    <t>Abbot Kim</t>
  </si>
  <si>
    <t>Denmark</t>
  </si>
  <si>
    <t>South Denmark</t>
  </si>
  <si>
    <t>Odense</t>
  </si>
  <si>
    <t>KL-2018-5607241</t>
  </si>
  <si>
    <t>Rashid Gomez</t>
  </si>
  <si>
    <t>France</t>
  </si>
  <si>
    <t>Ile-de-France</t>
  </si>
  <si>
    <t>Villiers-sur-Marne</t>
  </si>
  <si>
    <t>KL-2018-5607456</t>
  </si>
  <si>
    <t>Sopoline Hodges</t>
  </si>
  <si>
    <t>KL-2018-5607338</t>
  </si>
  <si>
    <t>Mei Schneider</t>
  </si>
  <si>
    <t>KL-2018-5607310</t>
  </si>
  <si>
    <t>Bruno Neal</t>
  </si>
  <si>
    <t>Madrid</t>
  </si>
  <si>
    <t>KL-2018-5607400</t>
  </si>
  <si>
    <t>Clara Porter</t>
  </si>
  <si>
    <t>Esbjerg</t>
  </si>
  <si>
    <t>KL-2018-5607457</t>
  </si>
  <si>
    <t>Carlos Ahmed</t>
  </si>
  <si>
    <t>Valencia</t>
  </si>
  <si>
    <t>KL-2018-5607527</t>
  </si>
  <si>
    <t>Alicia Osei</t>
  </si>
  <si>
    <t>KL-2018-5607219</t>
  </si>
  <si>
    <t>Priya Barnes</t>
  </si>
  <si>
    <t>KL-2018-5607297</t>
  </si>
  <si>
    <t>Rashid Hodges</t>
  </si>
  <si>
    <t>KL-2018-5607226</t>
  </si>
  <si>
    <t>Bruno Ahmed</t>
  </si>
  <si>
    <t>India</t>
  </si>
  <si>
    <t>Karnataka</t>
  </si>
  <si>
    <t>Bangalore</t>
  </si>
  <si>
    <t>KL-2018-5607324</t>
  </si>
  <si>
    <t>Omar Hickman</t>
  </si>
  <si>
    <t>KL-2018-5607426</t>
  </si>
  <si>
    <t>Rosa Okafor</t>
  </si>
  <si>
    <t>Maharashtra</t>
  </si>
  <si>
    <t>Nagpur</t>
  </si>
  <si>
    <t>KL-2018-5607523</t>
  </si>
  <si>
    <t>Samuel Santos</t>
  </si>
  <si>
    <t>Hovedstaden</t>
  </si>
  <si>
    <t>Copenhagen</t>
  </si>
  <si>
    <t>KL-2018-5607195</t>
  </si>
  <si>
    <t>Lana Dejesus</t>
  </si>
  <si>
    <t>Delhi</t>
  </si>
  <si>
    <t>New Delhi</t>
  </si>
  <si>
    <t>KL-2018-5607392</t>
  </si>
  <si>
    <t>Tariq Eriksson</t>
  </si>
  <si>
    <t>Germany</t>
  </si>
  <si>
    <t>Lower Saxony</t>
  </si>
  <si>
    <t>Hanover</t>
  </si>
  <si>
    <t>KL-2018-5607463</t>
  </si>
  <si>
    <t>Isla Hickman</t>
  </si>
  <si>
    <t>KL-2018-5607428</t>
  </si>
  <si>
    <t>Rashid Muller</t>
  </si>
  <si>
    <t>Versailles</t>
  </si>
  <si>
    <t>KL-2018-5607119</t>
  </si>
  <si>
    <t>Bruno Adkins</t>
  </si>
  <si>
    <t>North Rhine-Westphalia</t>
  </si>
  <si>
    <t>Bielefeld</t>
  </si>
  <si>
    <t>KL-2018-5607076</t>
  </si>
  <si>
    <t>Viktor Noel</t>
  </si>
  <si>
    <t>Paris</t>
  </si>
  <si>
    <t>KL-2018-5607420</t>
  </si>
  <si>
    <t>Isla Petrov</t>
  </si>
  <si>
    <t>KL-2018-5607277</t>
  </si>
  <si>
    <t>Leon Nakamura</t>
  </si>
  <si>
    <t>Pune</t>
  </si>
  <si>
    <t>KL-2018-5607240</t>
  </si>
  <si>
    <t>Leon Barnes</t>
  </si>
  <si>
    <t>KL-2018-5607313</t>
  </si>
  <si>
    <t>Clara Petrov</t>
  </si>
  <si>
    <t>Bavaria</t>
  </si>
  <si>
    <t>Munich</t>
  </si>
  <si>
    <t>KL-2018-5607268</t>
  </si>
  <si>
    <t>Georgia Weber</t>
  </si>
  <si>
    <t>Brussels</t>
  </si>
  <si>
    <t>KL-2018-5607182</t>
  </si>
  <si>
    <t>Andre Okafor</t>
  </si>
  <si>
    <t>KL-2018-5607131</t>
  </si>
  <si>
    <t>Georgia Bowers</t>
  </si>
  <si>
    <t>KL-2018-5607444</t>
  </si>
  <si>
    <t>Lana Livingston</t>
  </si>
  <si>
    <t>KL-2018-5607136</t>
  </si>
  <si>
    <t>Ivan Okafor</t>
  </si>
  <si>
    <t>Skane</t>
  </si>
  <si>
    <t>Malmo</t>
  </si>
  <si>
    <t>KL-2018-5607331</t>
  </si>
  <si>
    <t>Yuki Kim</t>
  </si>
  <si>
    <t>Tarnow</t>
  </si>
  <si>
    <t>KL-2018-5607364</t>
  </si>
  <si>
    <t>Evan Foster</t>
  </si>
  <si>
    <t>Rotterdam</t>
  </si>
  <si>
    <t>KL-2018-5607203</t>
  </si>
  <si>
    <t>Lani Larsson</t>
  </si>
  <si>
    <t>Leuven</t>
  </si>
  <si>
    <t>KL-2018-5607518</t>
  </si>
  <si>
    <t>Priya Kim</t>
  </si>
  <si>
    <t>KL-2018-5607235</t>
  </si>
  <si>
    <t>Sasha Ramos</t>
  </si>
  <si>
    <t>KL-2018-5607440</t>
  </si>
  <si>
    <t>Zephr Hodges</t>
  </si>
  <si>
    <t>Catalonia</t>
  </si>
  <si>
    <t>Girona</t>
  </si>
  <si>
    <t>KL-2018-5607511</t>
  </si>
  <si>
    <t>Omar Fischer</t>
  </si>
  <si>
    <t>North Holland</t>
  </si>
  <si>
    <t>Haarlem</t>
  </si>
  <si>
    <t>KL-2018-5607322</t>
  </si>
  <si>
    <t>Kiona Andersen</t>
  </si>
  <si>
    <t>KL-2018-5607053</t>
  </si>
  <si>
    <t>Bruno Wagner</t>
  </si>
  <si>
    <t>Amsterdam</t>
  </si>
  <si>
    <t>KL-2018-5607218</t>
  </si>
  <si>
    <t>Omar Rivera</t>
  </si>
  <si>
    <t>KL-2018-5607333</t>
  </si>
  <si>
    <t>Diana Moore</t>
  </si>
  <si>
    <t>Frederiksberg</t>
  </si>
  <si>
    <t>KL-2018-5607418</t>
  </si>
  <si>
    <t>Abbot Sullivan</t>
  </si>
  <si>
    <t>KL-2018-5607214</t>
  </si>
  <si>
    <t>Tobias Lindqvist</t>
  </si>
  <si>
    <t>KL-2018-5607115</t>
  </si>
  <si>
    <t>Amara Sullivan</t>
  </si>
  <si>
    <t>Cologne</t>
  </si>
  <si>
    <t>KL-2018-5607398</t>
  </si>
  <si>
    <t>Carlos Nakamura</t>
  </si>
  <si>
    <t>KL-2018-5607290</t>
  </si>
  <si>
    <t>Kiona Muller</t>
  </si>
  <si>
    <t>Bihar</t>
  </si>
  <si>
    <t>Gaya</t>
  </si>
  <si>
    <t>KL-2018-5607380</t>
  </si>
  <si>
    <t>Wendy Sullivan</t>
  </si>
  <si>
    <t>Mumbai</t>
  </si>
  <si>
    <t>KL-2018-5607221</t>
  </si>
  <si>
    <t>Raymond Johansson</t>
  </si>
  <si>
    <t>Masovian</t>
  </si>
  <si>
    <t>Radom</t>
  </si>
  <si>
    <t>KL-2018-5607372</t>
  </si>
  <si>
    <t>Mei Foster</t>
  </si>
  <si>
    <t>KL-2018-5607374</t>
  </si>
  <si>
    <t>Patrick Barrett</t>
  </si>
  <si>
    <t>KL-2018-5607114</t>
  </si>
  <si>
    <t>Patrick Chen</t>
  </si>
  <si>
    <t>Helsingborg</t>
  </si>
  <si>
    <t>KL-2018-5607248</t>
  </si>
  <si>
    <t>Viktor Patel</t>
  </si>
  <si>
    <t>KL-2018-5607177</t>
  </si>
  <si>
    <t>Abbot Hassan</t>
  </si>
  <si>
    <t>Patna</t>
  </si>
  <si>
    <t>KL-2018-5607185</t>
  </si>
  <si>
    <t>Abbot Osei</t>
  </si>
  <si>
    <t>KL-2018-5607513</t>
  </si>
  <si>
    <t>Julia Kane</t>
  </si>
  <si>
    <t>KL-2018-5607157</t>
  </si>
  <si>
    <t>Amara Horton</t>
  </si>
  <si>
    <t>KL-2018-5607486</t>
  </si>
  <si>
    <t>Zephr Ahmed</t>
  </si>
  <si>
    <t>KL-2018-5607150</t>
  </si>
  <si>
    <t>Diana Tanaka</t>
  </si>
  <si>
    <t>Barcelona</t>
  </si>
  <si>
    <t>KL-2018-5607160</t>
  </si>
  <si>
    <t>Mei Barnes</t>
  </si>
  <si>
    <t>KL-2018-5607496</t>
  </si>
  <si>
    <t>Priya Adkins</t>
  </si>
  <si>
    <t>KL-2018-5607357</t>
  </si>
  <si>
    <t>Felix Chen</t>
  </si>
  <si>
    <t>KL-2018-5607421</t>
  </si>
  <si>
    <t>Rosa Neal</t>
  </si>
  <si>
    <t>KL-2018-5607207</t>
  </si>
  <si>
    <t>Guinevere Costa</t>
  </si>
  <si>
    <t>KL-2018-5607282</t>
  </si>
  <si>
    <t>Andre Rivera</t>
  </si>
  <si>
    <t>KL-2018-5607347</t>
  </si>
  <si>
    <t>Georgia Fischer</t>
  </si>
  <si>
    <t>KL-2018-5607441</t>
  </si>
  <si>
    <t>Ingrid Dejesus</t>
  </si>
  <si>
    <t>KL-2018-5607256</t>
  </si>
  <si>
    <t>Hedda Weber</t>
  </si>
  <si>
    <t>KL-2018-5607084</t>
  </si>
  <si>
    <t>Clara Lindqvist</t>
  </si>
  <si>
    <t>KL-2018-5607148</t>
  </si>
  <si>
    <t>Marcus Bowers</t>
  </si>
  <si>
    <t>KL-2018-5607216</t>
  </si>
  <si>
    <t>Evan Hodges</t>
  </si>
  <si>
    <t>Warsaw</t>
  </si>
  <si>
    <t>KL-2018-5607404</t>
  </si>
  <si>
    <t>Wendy Costa</t>
  </si>
  <si>
    <t>KL-2018-5607396</t>
  </si>
  <si>
    <t>Rashid Ramos</t>
  </si>
  <si>
    <t>Nuremberg</t>
  </si>
  <si>
    <t>KL-2018-5607225</t>
  </si>
  <si>
    <t>Alicia Ahmed</t>
  </si>
  <si>
    <t>KL-2018-5607450</t>
  </si>
  <si>
    <t>Samuel Dubois</t>
  </si>
  <si>
    <t>KL-2018-5607334</t>
  </si>
  <si>
    <t>Carlos Moore</t>
  </si>
  <si>
    <t>KL-2018-5607501</t>
  </si>
  <si>
    <t>Sasha Ferreira</t>
  </si>
  <si>
    <t>KL-2018-5607294</t>
  </si>
  <si>
    <t>Guinevere Horton</t>
  </si>
  <si>
    <t>KL-2018-5607288</t>
  </si>
  <si>
    <t>Elsa Tanaka</t>
  </si>
  <si>
    <t>KL-2018-5607307</t>
  </si>
  <si>
    <t>Zephr Kim</t>
  </si>
  <si>
    <t>KL-2018-5607361</t>
  </si>
  <si>
    <t>Felix Okafor</t>
  </si>
  <si>
    <t>KL-2018-5607438</t>
  </si>
  <si>
    <t>Omar Neal</t>
  </si>
  <si>
    <t>KL-2018-5607147</t>
  </si>
  <si>
    <t>Ivan Mckenzie</t>
  </si>
  <si>
    <t>KL-2018-5607478</t>
  </si>
  <si>
    <t>Viktor Andersen</t>
  </si>
  <si>
    <t>KL-2018-5607485</t>
  </si>
  <si>
    <t>Omar Barnes</t>
  </si>
  <si>
    <t>KL-2018-5607067</t>
  </si>
  <si>
    <t>Amara Barnes</t>
  </si>
  <si>
    <t>KL-2018-5607367</t>
  </si>
  <si>
    <t>Alicia Dubois</t>
  </si>
  <si>
    <t>KL-2018-5607325</t>
  </si>
  <si>
    <t>Felix Bergmann</t>
  </si>
  <si>
    <t>KL-2018-5607497</t>
  </si>
  <si>
    <t>Hugo Foster</t>
  </si>
  <si>
    <t>KL-2018-5607479</t>
  </si>
  <si>
    <t>Viktor Eriksson</t>
  </si>
  <si>
    <t>KL-2018-5607190</t>
  </si>
  <si>
    <t>Leon Hickman</t>
  </si>
  <si>
    <t>KL-2018-5607156</t>
  </si>
  <si>
    <t>Aristotle Nguyen</t>
  </si>
  <si>
    <t>KL-2018-5607344</t>
  </si>
  <si>
    <t>Patrick Rivera</t>
  </si>
  <si>
    <t>KL-2018-5607514</t>
  </si>
  <si>
    <t>Leila Costa</t>
  </si>
  <si>
    <t>KL-2018-5607094</t>
  </si>
  <si>
    <t>Rashid Costa</t>
  </si>
  <si>
    <t>Alicante</t>
  </si>
  <si>
    <t>KL-2018-5607236</t>
  </si>
  <si>
    <t>KL-2018-5607260</t>
  </si>
  <si>
    <t>Elsa Andersen</t>
  </si>
  <si>
    <t>KL-2018-5607330</t>
  </si>
  <si>
    <t>Guinevere Santos</t>
  </si>
  <si>
    <t>KL-2018-5607042</t>
  </si>
  <si>
    <t>Ria Ferreira</t>
  </si>
  <si>
    <t>KL-2018-5607430</t>
  </si>
  <si>
    <t>Rashid Porter</t>
  </si>
  <si>
    <t>KL-2018-5607258</t>
  </si>
  <si>
    <t>Kiona Neal</t>
  </si>
  <si>
    <t>KL-2018-5607526</t>
  </si>
  <si>
    <t>Dahlia Petrov</t>
  </si>
  <si>
    <t>KL-2018-5607469</t>
  </si>
  <si>
    <t>Georgia Ramos</t>
  </si>
  <si>
    <t>KL-2018-5607169</t>
  </si>
  <si>
    <t>Hugo Ramos</t>
  </si>
  <si>
    <t>KL-2018-5607103</t>
  </si>
  <si>
    <t>Rosa Kane</t>
  </si>
  <si>
    <t>KL-2018-5607305</t>
  </si>
  <si>
    <t>Nina Neal</t>
  </si>
  <si>
    <t>KL-2018-5607449</t>
  </si>
  <si>
    <t>Dahlia Ferreira</t>
  </si>
  <si>
    <t>KL-2018-5607211</t>
  </si>
  <si>
    <t>Hugo Fischer</t>
  </si>
  <si>
    <t>KL-2018-5607072</t>
  </si>
  <si>
    <t>Ivan Nakamura</t>
  </si>
  <si>
    <t>KL-2018-5607299</t>
  </si>
  <si>
    <t>Carlos Patel</t>
  </si>
  <si>
    <t>KL-2018-5607172</t>
  </si>
  <si>
    <t>Alicia Muller</t>
  </si>
  <si>
    <t>KL-2018-5607293</t>
  </si>
  <si>
    <t>Ria Porter</t>
  </si>
  <si>
    <t>KL-2018-5607467</t>
  </si>
  <si>
    <t>Diana Ferreira</t>
  </si>
  <si>
    <t>KL-2018-5607165</t>
  </si>
  <si>
    <t>Leila Barrett</t>
  </si>
  <si>
    <t>KL-2018-5607086</t>
  </si>
  <si>
    <t>Tobias Okafor</t>
  </si>
  <si>
    <t>KL-2018-5607295</t>
  </si>
  <si>
    <t>Evan Osei</t>
  </si>
  <si>
    <t>KL-2018-5607516</t>
  </si>
  <si>
    <t>Leila Ramos</t>
  </si>
  <si>
    <t>KL-2018-5607401</t>
  </si>
  <si>
    <t>Ingrid Hodges</t>
  </si>
  <si>
    <t>KL-2018-5607493</t>
  </si>
  <si>
    <t>Evan Porter</t>
  </si>
  <si>
    <t>KL-2018-5607376</t>
  </si>
  <si>
    <t>Bruno Gomez</t>
  </si>
  <si>
    <t>KL-2018-5607346</t>
  </si>
  <si>
    <t>Stella Okafor</t>
  </si>
  <si>
    <t>KL-2018-5607206</t>
  </si>
  <si>
    <t>Lana Okafor</t>
  </si>
  <si>
    <t>KL-2018-5607377</t>
  </si>
  <si>
    <t>Diana Barrett</t>
  </si>
  <si>
    <t>KL-2018-5607274</t>
  </si>
  <si>
    <t>Ria Gomez</t>
  </si>
  <si>
    <t>KL-2018-5607453</t>
  </si>
  <si>
    <t>Marcus Dubois</t>
  </si>
  <si>
    <t>KL-2018-5607433</t>
  </si>
  <si>
    <t>Isla Horton</t>
  </si>
  <si>
    <t>KL-2018-5607466</t>
  </si>
  <si>
    <t>Georgia Andersen</t>
  </si>
  <si>
    <t>KL-2018-5607309</t>
  </si>
  <si>
    <t>Diana Neal</t>
  </si>
  <si>
    <t>KL-2018-5607403</t>
  </si>
  <si>
    <t>Raymond Gomez</t>
  </si>
  <si>
    <t>KL-2018-5607098</t>
  </si>
  <si>
    <t>Guinevere Chen</t>
  </si>
  <si>
    <t>Provence</t>
  </si>
  <si>
    <t>Marseille</t>
  </si>
  <si>
    <t>KL-2018-5607223</t>
  </si>
  <si>
    <t>Zephr Livingston</t>
  </si>
  <si>
    <t>KL-2018-5607108</t>
  </si>
  <si>
    <t>Guinevere Mckenzie</t>
  </si>
  <si>
    <t>KL-2018-5607416</t>
  </si>
  <si>
    <t>Marcus Hodges</t>
  </si>
  <si>
    <t>KL-2018-5607121</t>
  </si>
  <si>
    <t>Nadia Santos</t>
  </si>
  <si>
    <t>KL-2018-5607481</t>
  </si>
  <si>
    <t>KL-2018-5607124</t>
  </si>
  <si>
    <t>Stella Muller</t>
  </si>
  <si>
    <t>KL-2018-5607522</t>
  </si>
  <si>
    <t>Abbot Santos</t>
  </si>
  <si>
    <t>KL-2018-5607133</t>
  </si>
  <si>
    <t>Clara Neal</t>
  </si>
  <si>
    <t>KL-2018-5607432</t>
  </si>
  <si>
    <t>Ivan Ramos</t>
  </si>
  <si>
    <t>KL-2018-5607468</t>
  </si>
  <si>
    <t>KL-2018-5607399</t>
  </si>
  <si>
    <t>Sopoline Barrett</t>
  </si>
  <si>
    <t>KL-2018-5607113</t>
  </si>
  <si>
    <t>Isla Barrett</t>
  </si>
  <si>
    <t>KL-2018-5607482</t>
  </si>
  <si>
    <t>Dahlia Nguyen</t>
  </si>
  <si>
    <t>KL-2018-5607355</t>
  </si>
  <si>
    <t>Hana Lindqvist</t>
  </si>
  <si>
    <t>KL-2018-5607395</t>
  </si>
  <si>
    <t>Fatima Russo</t>
  </si>
  <si>
    <t>KL-2018-5607261</t>
  </si>
  <si>
    <t>Mei Eriksson</t>
  </si>
  <si>
    <t>KL-2018-5607327</t>
  </si>
  <si>
    <t>Leon Hodges</t>
  </si>
  <si>
    <t>KL-2018-5607049</t>
  </si>
  <si>
    <t>Leon Kane</t>
  </si>
  <si>
    <t>KL-2018-5607471</t>
  </si>
  <si>
    <t>KL-2018-5607487</t>
  </si>
  <si>
    <t>Alicia Sullivan</t>
  </si>
  <si>
    <t>KL-2018-5607464</t>
  </si>
  <si>
    <t>Leila Hodges</t>
  </si>
  <si>
    <t>KL-2018-5607353</t>
  </si>
  <si>
    <t>Felix Weber</t>
  </si>
  <si>
    <t>KL-2018-5607037</t>
  </si>
  <si>
    <t>Diana Porter</t>
  </si>
  <si>
    <t>Bremen</t>
  </si>
  <si>
    <t>KL-2018-5607178</t>
  </si>
  <si>
    <t>Patrick Nguyen</t>
  </si>
  <si>
    <t>KL-2018-5607413</t>
  </si>
  <si>
    <t>Leon Dubois</t>
  </si>
  <si>
    <t>KL-2018-5607350</t>
  </si>
  <si>
    <t>Isla Moore</t>
  </si>
  <si>
    <t>Nice</t>
  </si>
  <si>
    <t>KL-2018-5607170</t>
  </si>
  <si>
    <t>Mysore</t>
  </si>
  <si>
    <t>KL-2018-5607494</t>
  </si>
  <si>
    <t>Hugo Adkins</t>
  </si>
  <si>
    <t>KL-2018-5607304</t>
  </si>
  <si>
    <t>Andre Ramos</t>
  </si>
  <si>
    <t>KL-2018-5607229</t>
  </si>
  <si>
    <t>Augsburg</t>
  </si>
  <si>
    <t>KL-2018-5607044</t>
  </si>
  <si>
    <t>Tariq Larsson</t>
  </si>
  <si>
    <t>Langen</t>
  </si>
  <si>
    <t>KL-2018-5607152</t>
  </si>
  <si>
    <t>Aristotle Weber</t>
  </si>
  <si>
    <t>KL-2018-5607445</t>
  </si>
  <si>
    <t>Wendy Noel</t>
  </si>
  <si>
    <t>KL-2018-5607137</t>
  </si>
  <si>
    <t>Julia Eriksson</t>
  </si>
  <si>
    <t>KL-2018-5607162</t>
  </si>
  <si>
    <t>Yuki Osei</t>
  </si>
  <si>
    <t>KL-2018-5607193</t>
  </si>
  <si>
    <t>Zephr Johansson</t>
  </si>
  <si>
    <t>KL-2018-5607462</t>
  </si>
  <si>
    <t>Rashid Fischer</t>
  </si>
  <si>
    <t>KL-2018-5607199</t>
  </si>
  <si>
    <t>Hugo Hodges</t>
  </si>
  <si>
    <t>KL-2018-5607472</t>
  </si>
  <si>
    <t>Fatima Fischer</t>
  </si>
  <si>
    <t>KL-2018-5607081</t>
  </si>
  <si>
    <t>Kiona Adkins</t>
  </si>
  <si>
    <t>KL-2018-5607078</t>
  </si>
  <si>
    <t>Tobias Hickman</t>
  </si>
  <si>
    <t>KL-2018-5607183</t>
  </si>
  <si>
    <t>Elsa Neal</t>
  </si>
  <si>
    <t>KL-2018-5607358</t>
  </si>
  <si>
    <t>Felix Osei</t>
  </si>
  <si>
    <t>KL-2018-5607085</t>
  </si>
  <si>
    <t>Lani Wagner</t>
  </si>
  <si>
    <t>KL-2018-5607383</t>
  </si>
  <si>
    <t>Tobias Horton</t>
  </si>
  <si>
    <t>KL-2018-5607059</t>
  </si>
  <si>
    <t>Guinevere Porter</t>
  </si>
  <si>
    <t>KL-2018-5607184</t>
  </si>
  <si>
    <t>Bruno Russo</t>
  </si>
  <si>
    <t>KL-2018-5607100</t>
  </si>
  <si>
    <t>Omar Horton</t>
  </si>
  <si>
    <t>KL-2018-5607359</t>
  </si>
  <si>
    <t>Hana Ahmed</t>
  </si>
  <si>
    <t>KL-2018-5607265</t>
  </si>
  <si>
    <t>Georgia Johansson</t>
  </si>
  <si>
    <t>KL-2018-5607079</t>
  </si>
  <si>
    <t>Omar Johansson</t>
  </si>
  <si>
    <t>KL-2018-5607381</t>
  </si>
  <si>
    <t>Yuki Andersen</t>
  </si>
  <si>
    <t>KL-2018-5607222</t>
  </si>
  <si>
    <t>Felix Dejesus</t>
  </si>
  <si>
    <t>KL-2018-5607054</t>
  </si>
  <si>
    <t>Andre Nakamura</t>
  </si>
  <si>
    <t>KL-2018-5607480</t>
  </si>
  <si>
    <t>Tariq Fischer</t>
  </si>
  <si>
    <t>KL-2018-5607407</t>
  </si>
  <si>
    <t>Leila Hickman</t>
  </si>
  <si>
    <t>KL-2018-5607490</t>
  </si>
  <si>
    <t>Ivan Larsson</t>
  </si>
  <si>
    <t>KL-2018-5607257</t>
  </si>
  <si>
    <t>Sasha Dubois</t>
  </si>
  <si>
    <t>KL-2018-5607111</t>
  </si>
  <si>
    <t>Aristotle Santos</t>
  </si>
  <si>
    <t>KL-2018-5607106</t>
  </si>
  <si>
    <t>KL-2018-5607038</t>
  </si>
  <si>
    <t>Kiona Barrett</t>
  </si>
  <si>
    <t>KL-2018-5607246</t>
  </si>
  <si>
    <t>Fatima Weber</t>
  </si>
  <si>
    <t>KL-2018-5607488</t>
  </si>
  <si>
    <t>KL-2018-5607365</t>
  </si>
  <si>
    <t>Leila Muller</t>
  </si>
  <si>
    <t>KL-2018-5607329</t>
  </si>
  <si>
    <t>Felix Bowers</t>
  </si>
  <si>
    <t>KL-2018-5607034</t>
  </si>
  <si>
    <t>KL-2018-5607050</t>
  </si>
  <si>
    <t>Felix Sullivan</t>
  </si>
  <si>
    <t>KL-2018-5607090</t>
  </si>
  <si>
    <t>Tariq Osei</t>
  </si>
  <si>
    <t>KL-2018-5607045</t>
  </si>
  <si>
    <t>Hana Livingston</t>
  </si>
  <si>
    <t>KL-2018-5607117</t>
  </si>
  <si>
    <t>Carlos Chen</t>
  </si>
  <si>
    <t>KL-2018-5607507</t>
  </si>
  <si>
    <t>Rosa Nakamura</t>
  </si>
  <si>
    <t>KL-2018-5607349</t>
  </si>
  <si>
    <t>KL-2018-5607132</t>
  </si>
  <si>
    <t>Evan Patel</t>
  </si>
  <si>
    <t>KL-2018-5607140</t>
  </si>
  <si>
    <t>Nina Hassan</t>
  </si>
  <si>
    <t>KL-2018-5607273</t>
  </si>
  <si>
    <t>Isla Muller</t>
  </si>
  <si>
    <t>KL-2018-5607348</t>
  </si>
  <si>
    <t>Alicia Ramos</t>
  </si>
  <si>
    <t>KL-2018-5607408</t>
  </si>
  <si>
    <t>Julia Neal</t>
  </si>
  <si>
    <t>KL-2018-5607409</t>
  </si>
  <si>
    <t>KL-2018-5607164</t>
  </si>
  <si>
    <t>Priya Moore</t>
  </si>
  <si>
    <t>KL-2018-5607379</t>
  </si>
  <si>
    <t>Nadia Kim</t>
  </si>
  <si>
    <t>KL-2018-5607224</t>
  </si>
  <si>
    <t>Sopoline Johansson</t>
  </si>
  <si>
    <t>KL-2018-5607341</t>
  </si>
  <si>
    <t>Ingrid Petrov</t>
  </si>
  <si>
    <t>KL-2018-5607429</t>
  </si>
  <si>
    <t>Priya Fischer</t>
  </si>
  <si>
    <t>KL-2018-5607155</t>
  </si>
  <si>
    <t>Tobias Livingston</t>
  </si>
  <si>
    <t>KL-2018-5607316</t>
  </si>
  <si>
    <t>Elsa Mckenzie</t>
  </si>
  <si>
    <t>KL-2018-5607363</t>
  </si>
  <si>
    <t>Leon Neal</t>
  </si>
  <si>
    <t>KL-2018-5607394</t>
  </si>
  <si>
    <t>KL-2018-5607491</t>
  </si>
  <si>
    <t>KL-2018-5607291</t>
  </si>
  <si>
    <t>Priya Neal</t>
  </si>
  <si>
    <t>KL-2018-5607373</t>
  </si>
  <si>
    <t>Amara Livingston</t>
  </si>
  <si>
    <t>KL-2018-5607528</t>
  </si>
  <si>
    <t>Diana Johansson</t>
  </si>
  <si>
    <t>KL-2018-5607179</t>
  </si>
  <si>
    <t>Diana Foster</t>
  </si>
  <si>
    <t>KL-2018-5607089</t>
  </si>
  <si>
    <t>Priya Foster</t>
  </si>
  <si>
    <t>KL-2018-5607128</t>
  </si>
  <si>
    <t>Henry Sullivan</t>
  </si>
  <si>
    <t>KL-2018-5607135</t>
  </si>
  <si>
    <t>Alicia Hassan</t>
  </si>
  <si>
    <t>KL-2018-5607371</t>
  </si>
  <si>
    <t>Aristotle Patel</t>
  </si>
  <si>
    <t>KL-2018-5607470</t>
  </si>
  <si>
    <t>Evan Adkins</t>
  </si>
  <si>
    <t>KL-2018-5607332</t>
  </si>
  <si>
    <t>Mei Barrett</t>
  </si>
  <si>
    <t>KL-2018-5607504</t>
  </si>
  <si>
    <t>KL-2018-5607417</t>
  </si>
  <si>
    <t>Viktor Okafor</t>
  </si>
  <si>
    <t>KL-2018-5607506</t>
  </si>
  <si>
    <t>Nina Nakamura</t>
  </si>
  <si>
    <t>KL-2018-5607425</t>
  </si>
  <si>
    <t>Yuki Hickman</t>
  </si>
  <si>
    <t>KL-2018-5607088</t>
  </si>
  <si>
    <t>Hugo Dejesus</t>
  </si>
  <si>
    <t>KL-2018-5607105</t>
  </si>
  <si>
    <t>Amara Foster</t>
  </si>
  <si>
    <t>KL-2018-5607116</t>
  </si>
  <si>
    <t>Carlos Adkins</t>
  </si>
  <si>
    <t>KL-2018-5607343</t>
  </si>
  <si>
    <t>Yuki Nakamura</t>
  </si>
  <si>
    <t>KL-2018-5607087</t>
  </si>
  <si>
    <t>Amara Hassan</t>
  </si>
  <si>
    <t>KL-2018-5607139</t>
  </si>
  <si>
    <t>Carlos Okafor</t>
  </si>
  <si>
    <t>KL-2018-5607052</t>
  </si>
  <si>
    <t>Ria Dubois</t>
  </si>
  <si>
    <t>KL-2018-5607192</t>
  </si>
  <si>
    <t>Rosa Horton</t>
  </si>
  <si>
    <t>KL-2018-5607173</t>
  </si>
  <si>
    <t>Isla Neal</t>
  </si>
  <si>
    <t>KL-2018-5607321</t>
  </si>
  <si>
    <t>Diana Lindqvist</t>
  </si>
  <si>
    <t>KL-2018-5607474</t>
  </si>
  <si>
    <t>Leila Patel</t>
  </si>
  <si>
    <t>KL-2018-5607077</t>
  </si>
  <si>
    <t>Sopoline Petrov</t>
  </si>
  <si>
    <t>KL-2018-5607204</t>
  </si>
  <si>
    <t>Tariq Nakamura</t>
  </si>
  <si>
    <t>KL-2018-5607040</t>
  </si>
  <si>
    <t>Georgia Kim</t>
  </si>
  <si>
    <t>KL-2018-5607092</t>
  </si>
  <si>
    <t>Samuel Ahmed</t>
  </si>
  <si>
    <t>KL-2018-5607074</t>
  </si>
  <si>
    <t>Marcus Noel</t>
  </si>
  <si>
    <t>KL-2018-5607191</t>
  </si>
  <si>
    <t>Ivan Schneider</t>
  </si>
  <si>
    <t>KL-2018-5607264</t>
  </si>
  <si>
    <t>Raymond Nguyen</t>
  </si>
  <si>
    <t>KL-2018-5607386</t>
  </si>
  <si>
    <t>Kiona Dubois</t>
  </si>
  <si>
    <t>KL-2018-5607031</t>
  </si>
  <si>
    <t>Lana Chen</t>
  </si>
  <si>
    <t>KL-2018-5607267</t>
  </si>
  <si>
    <t>Patrick Muller</t>
  </si>
  <si>
    <t>KL-2018-5607393</t>
  </si>
  <si>
    <t>Alicia Mckenzie</t>
  </si>
  <si>
    <t>KL-2018-5607220</t>
  </si>
  <si>
    <t>Nadia Muller</t>
  </si>
  <si>
    <t>KL-2018-5607209</t>
  </si>
  <si>
    <t>Nadia Ramos</t>
  </si>
  <si>
    <t>KL-2018-5607431</t>
  </si>
  <si>
    <t>KL-2018-5607285</t>
  </si>
  <si>
    <t>Zephr Eriksson</t>
  </si>
  <si>
    <t>KL-2018-5607351</t>
  </si>
  <si>
    <t>Henry Ahmed</t>
  </si>
  <si>
    <t>KL-2018-5607352</t>
  </si>
  <si>
    <t>Evan Nguyen</t>
  </si>
  <si>
    <t>KL-2018-5607521</t>
  </si>
  <si>
    <t>Yuki Nguyen</t>
  </si>
  <si>
    <t>KL-2018-5607435</t>
  </si>
  <si>
    <t>Hedda Gomez</t>
  </si>
  <si>
    <t>KL-2018-5607427</t>
  </si>
  <si>
    <t>Stella Moore</t>
  </si>
  <si>
    <t>KL-2018-5607317</t>
  </si>
  <si>
    <t>Viktor Tanaka</t>
  </si>
  <si>
    <t>KL-2018-5607217</t>
  </si>
  <si>
    <t>Elsa Wagner</t>
  </si>
  <si>
    <t>KL-2018-5607212</t>
  </si>
  <si>
    <t>Bruno Nguyen</t>
  </si>
  <si>
    <t>KL-2018-5607227</t>
  </si>
  <si>
    <t>Dahlia Schneider</t>
  </si>
  <si>
    <t>KL-2018-5607234</t>
  </si>
  <si>
    <t>KL-2018-5607499</t>
  </si>
  <si>
    <t>Evan Bergmann</t>
  </si>
  <si>
    <t>KL-2018-5607149</t>
  </si>
  <si>
    <t>Nadia Rivera</t>
  </si>
  <si>
    <t>KL-2018-5607448</t>
  </si>
  <si>
    <t>Omar Nakamura</t>
  </si>
  <si>
    <t>KL-2018-5607091</t>
  </si>
  <si>
    <t>KL-2018-5607233</t>
  </si>
  <si>
    <t>Zephr Mckenzie</t>
  </si>
  <si>
    <t>KL-2018-5607447</t>
  </si>
  <si>
    <t>Marcus Chen</t>
  </si>
  <si>
    <t>KL-2018-5607101</t>
  </si>
  <si>
    <t>Samuel Bowers</t>
  </si>
  <si>
    <t>KL-2018-5607129</t>
  </si>
  <si>
    <t>Bruno Weber</t>
  </si>
  <si>
    <t>KL-2018-5607446</t>
  </si>
  <si>
    <t>Isla Adkins</t>
  </si>
  <si>
    <t>KL-2018-5607153</t>
  </si>
  <si>
    <t>Patrick Hickman</t>
  </si>
  <si>
    <t>KL-2018-5607239</t>
  </si>
  <si>
    <t>Elsa Dubois</t>
  </si>
  <si>
    <t>KL-2018-5607465</t>
  </si>
  <si>
    <t>Nadia Barnes</t>
  </si>
  <si>
    <t>KL-2018-5607083</t>
  </si>
  <si>
    <t>Stella Gomez</t>
  </si>
  <si>
    <t>KL-2018-5607436</t>
  </si>
  <si>
    <t>KL-2018-5607484</t>
  </si>
  <si>
    <t>KL-2018-5607460</t>
  </si>
  <si>
    <t>Rosa Costa</t>
  </si>
  <si>
    <t>KL-2018-5607071</t>
  </si>
  <si>
    <t>Lani Johansson</t>
  </si>
  <si>
    <t>KL-2018-5607167</t>
  </si>
  <si>
    <t>Elsa Russo</t>
  </si>
  <si>
    <t>KL-2018-5607276</t>
  </si>
  <si>
    <t>Julia Hassan</t>
  </si>
  <si>
    <t>KL-2018-5607437</t>
  </si>
  <si>
    <t>KL-2018-5607151</t>
  </si>
  <si>
    <t>Yuki Johansson</t>
  </si>
  <si>
    <t>KL-2018-5607388</t>
  </si>
  <si>
    <t>Aristotle Ferreira</t>
  </si>
  <si>
    <t>KL-2018-5607063</t>
  </si>
  <si>
    <t>Priya Costa</t>
  </si>
  <si>
    <t>KL-2018-5607387</t>
  </si>
  <si>
    <t>KL-2018-5607120</t>
  </si>
  <si>
    <t>Nina Gomez</t>
  </si>
  <si>
    <t>KL-2018-5607249</t>
  </si>
  <si>
    <t>KL-2018-5607237</t>
  </si>
  <si>
    <t>Hana Dubois</t>
  </si>
  <si>
    <t>KL-2018-5607423</t>
  </si>
  <si>
    <t>Diana Kane</t>
  </si>
  <si>
    <t>KL-2018-5607296</t>
  </si>
  <si>
    <t>Omar Ferreira</t>
  </si>
  <si>
    <t>KL-2018-5607502</t>
  </si>
  <si>
    <t>Marcus Nguyen</t>
  </si>
  <si>
    <t>KL-2018-5607270</t>
  </si>
  <si>
    <t>Sasha Barrett</t>
  </si>
  <si>
    <t>KL-2018-5607215</t>
  </si>
  <si>
    <t>Amara Lindqvist</t>
  </si>
  <si>
    <t>KL-2018-5607252</t>
  </si>
  <si>
    <t>Leon Tanaka</t>
  </si>
  <si>
    <t>KL-2018-5607073</t>
  </si>
  <si>
    <t>Hugo Nguyen</t>
  </si>
  <si>
    <t>KL-2018-5607510</t>
  </si>
  <si>
    <t>Elsa Muller</t>
  </si>
  <si>
    <t>KL-2018-5607080</t>
  </si>
  <si>
    <t>Samuel Moore</t>
  </si>
  <si>
    <t>KL-2018-5607280</t>
  </si>
  <si>
    <t>Raymond Bergmann</t>
  </si>
  <si>
    <t>KL-2018-5607360</t>
  </si>
  <si>
    <t>KL-2018-5607058</t>
  </si>
  <si>
    <t>Hugo Ferreira</t>
  </si>
  <si>
    <t>KL-2018-5607070</t>
  </si>
  <si>
    <t>Guinevere Schneider</t>
  </si>
  <si>
    <t>KL-2018-5607107</t>
  </si>
  <si>
    <t>Rashid Ferreira</t>
  </si>
  <si>
    <t>KL-2018-5607043</t>
  </si>
  <si>
    <t>KL-2018-5607126</t>
  </si>
  <si>
    <t>Carlos Dejesus</t>
  </si>
  <si>
    <t>KL-2018-5607123</t>
  </si>
  <si>
    <t>Rosa Gomez</t>
  </si>
  <si>
    <t>KL-2018-5607145</t>
  </si>
  <si>
    <t>Mei Neal</t>
  </si>
  <si>
    <t>KL-2018-5607275</t>
  </si>
  <si>
    <t>Priya Dubois</t>
  </si>
  <si>
    <t>KL-2018-5607509</t>
  </si>
  <si>
    <t>Abbot Nguyen</t>
  </si>
  <si>
    <t>KL-2018-5607508</t>
  </si>
  <si>
    <t>KL-2018-5607056</t>
  </si>
  <si>
    <t>KL-2018-5607196</t>
  </si>
  <si>
    <t>KL-2018-5607035</t>
  </si>
  <si>
    <t>Aristotle Hodges</t>
  </si>
  <si>
    <t>KL-2018-5607281</t>
  </si>
  <si>
    <t>Raymond Okafor</t>
  </si>
  <si>
    <t>KL-2018-5607302</t>
  </si>
  <si>
    <t>Amara Hodges</t>
  </si>
  <si>
    <t>KL-2018-5607382</t>
  </si>
  <si>
    <t>Sasha Kane</t>
  </si>
  <si>
    <t>KL-2018-5607326</t>
  </si>
  <si>
    <t>Raymond Tanaka</t>
  </si>
  <si>
    <t>KL-2018-5607318</t>
  </si>
  <si>
    <t>KL-2018-5607110</t>
  </si>
  <si>
    <t>Felix Fischer</t>
  </si>
  <si>
    <t>KL-2018-5607328</t>
  </si>
  <si>
    <t>Hedda Porter</t>
  </si>
  <si>
    <t>KL-2018-5607411</t>
  </si>
  <si>
    <t>Guinevere Larsson</t>
  </si>
  <si>
    <t>KL-2018-5607339</t>
  </si>
  <si>
    <t>Lani Adkins</t>
  </si>
  <si>
    <t>KL-2018-5607051</t>
  </si>
  <si>
    <t>Julia Dubois</t>
  </si>
  <si>
    <t>KL-2018-5607097</t>
  </si>
  <si>
    <t>Leila Chen</t>
  </si>
  <si>
    <t>KL-2018-5607286</t>
  </si>
  <si>
    <t>Amara Andersen</t>
  </si>
  <si>
    <t>KL-2018-5607378</t>
  </si>
  <si>
    <t>Ingrid Johansson</t>
  </si>
  <si>
    <t>KL-2018-5607125</t>
  </si>
  <si>
    <t>KL-2018-5607475</t>
  </si>
  <si>
    <t>Isla Johansson</t>
  </si>
  <si>
    <t>KL-2018-5607262</t>
  </si>
  <si>
    <t>Clara Russo</t>
  </si>
  <si>
    <t>KL-2018-5607269</t>
  </si>
  <si>
    <t>Amara Bergmann</t>
  </si>
  <si>
    <t>KL-2018-5607301</t>
  </si>
  <si>
    <t>KL-2018-5607210</t>
  </si>
  <si>
    <t>Hana Hickman</t>
  </si>
  <si>
    <t>KL-2018-5607454</t>
  </si>
  <si>
    <t>Stella Sullivan</t>
  </si>
  <si>
    <t>KL-2018-5607455</t>
  </si>
  <si>
    <t>Diana Fischer</t>
  </si>
  <si>
    <t>KL-2018-5607197</t>
  </si>
  <si>
    <t>Ria Tanaka</t>
  </si>
  <si>
    <t>KL-2018-5607194</t>
  </si>
  <si>
    <t>Wendy Chen</t>
  </si>
  <si>
    <t>KL-2018-5607247</t>
  </si>
  <si>
    <t>Elsa Chen</t>
  </si>
  <si>
    <t>KL-2018-5607451</t>
  </si>
  <si>
    <t>KL-2018-5607159</t>
  </si>
  <si>
    <t>Tobias Eriksson</t>
  </si>
  <si>
    <t>KL-2018-5607315</t>
  </si>
  <si>
    <t>Bruno Tanaka</t>
  </si>
  <si>
    <t>KL-2018-5607500</t>
  </si>
  <si>
    <t>Mei Muller</t>
  </si>
  <si>
    <t>KL-2018-5607202</t>
  </si>
  <si>
    <t>Lani Foster</t>
  </si>
  <si>
    <t>KL-2018-5607419</t>
  </si>
  <si>
    <t>Felix Johansson</t>
  </si>
  <si>
    <t>KL-2018-5607180</t>
  </si>
  <si>
    <t>Carlos Hickman</t>
  </si>
  <si>
    <t>KL-2018-5607271</t>
  </si>
  <si>
    <t>Zephr Barrett</t>
  </si>
  <si>
    <t>KL-2018-5607375</t>
  </si>
  <si>
    <t>Mei Moore</t>
  </si>
  <si>
    <t>KL-2018-5607356</t>
  </si>
  <si>
    <t>KL-2018-5607422</t>
  </si>
  <si>
    <t>Evan Fischer</t>
  </si>
  <si>
    <t>KL-2018-5607075</t>
  </si>
  <si>
    <t>Sasha Bergmann</t>
  </si>
  <si>
    <t>KL-2018-5607161</t>
  </si>
  <si>
    <t>Nadia Gomez</t>
  </si>
  <si>
    <t>KL-2018-5607130</t>
  </si>
  <si>
    <t>Julia Foster</t>
  </si>
  <si>
    <t>KL-2018-5607188</t>
  </si>
  <si>
    <t>Alicia Neal</t>
  </si>
  <si>
    <t>KL-2018-5607171</t>
  </si>
  <si>
    <t>Lana Ahmed</t>
  </si>
  <si>
    <t>KL-2018-5607287</t>
  </si>
  <si>
    <t>KL-2018-5607201</t>
  </si>
  <si>
    <t>Elsa Johansson</t>
  </si>
  <si>
    <t>KL-2018-5607263</t>
  </si>
  <si>
    <t>Evan Moore</t>
  </si>
  <si>
    <t>KL-2018-5607415</t>
  </si>
  <si>
    <t>Rashid Andersen</t>
  </si>
  <si>
    <t>KL-2018-5607158</t>
  </si>
  <si>
    <t>KL-2018-5607046</t>
  </si>
  <si>
    <t>KL-2018-5607505</t>
  </si>
  <si>
    <t>Carlos Ramos</t>
  </si>
  <si>
    <t>KL-2018-5607033</t>
  </si>
  <si>
    <t>Sasha Porter</t>
  </si>
  <si>
    <t>KL-2018-5607284</t>
  </si>
  <si>
    <t>Hana Osei</t>
  </si>
  <si>
    <t>KL-2018-5607410</t>
  </si>
  <si>
    <t>Nina Muller</t>
  </si>
  <si>
    <t>KL-2018-5607099</t>
  </si>
  <si>
    <t>Alicia Hickman</t>
  </si>
  <si>
    <t>KL-2018-5607308</t>
  </si>
  <si>
    <t>Julia Sullivan</t>
  </si>
  <si>
    <t>KL-2018-5607483</t>
  </si>
  <si>
    <t>Sasha Okafor</t>
  </si>
  <si>
    <t>KL-2018-5607337</t>
  </si>
  <si>
    <t>KL-2018-5607303</t>
  </si>
  <si>
    <t>Lani Barnes</t>
  </si>
  <si>
    <t>KL-2018-5607323</t>
  </si>
  <si>
    <t>Sasha Larsson</t>
  </si>
  <si>
    <t>KL-2018-5607048</t>
  </si>
  <si>
    <t>Tariq Dejesus</t>
  </si>
  <si>
    <t>KL-2018-5607477</t>
  </si>
  <si>
    <t>Kiona Chen</t>
  </si>
  <si>
    <t>KL-2018-5607138</t>
  </si>
  <si>
    <t>Marcus Dejesus</t>
  </si>
  <si>
    <t>KL-2018-5607069</t>
  </si>
  <si>
    <t>Hedda Dubois</t>
  </si>
  <si>
    <t>KL-2018-5607530</t>
  </si>
  <si>
    <t>Stella Noel</t>
  </si>
  <si>
    <t>KL-2018-5607314</t>
  </si>
  <si>
    <t>Sopoline Patel</t>
  </si>
  <si>
    <t>KL-2018-5607452</t>
  </si>
  <si>
    <t>Elsa Petrov</t>
  </si>
  <si>
    <t>KL-2018-5607312</t>
  </si>
  <si>
    <t>Rosa Adkins</t>
  </si>
  <si>
    <t>KL-2018-5607251</t>
  </si>
  <si>
    <t>Lana Hickman</t>
  </si>
  <si>
    <t>KL-2018-5607272</t>
  </si>
  <si>
    <t>Amara Fischer</t>
  </si>
  <si>
    <t>KL-2018-5607238</t>
  </si>
  <si>
    <t>Guinevere Fischer</t>
  </si>
  <si>
    <t>KL-2018-5607250</t>
  </si>
  <si>
    <t>Tobias Costa</t>
  </si>
  <si>
    <t>KL-2018-5607057</t>
  </si>
  <si>
    <t>Aristotle Barrett</t>
  </si>
  <si>
    <t>KL-2018-5607283</t>
  </si>
  <si>
    <t>Carlos Eriksson</t>
  </si>
  <si>
    <t>Dortmund</t>
  </si>
  <si>
    <t>KL-2018-5607104</t>
  </si>
  <si>
    <t>Henry Ferreira</t>
  </si>
  <si>
    <t>KL-2018-5607154</t>
  </si>
  <si>
    <t>Patrick Hodges</t>
  </si>
  <si>
    <t>KL-2018-5607041</t>
  </si>
  <si>
    <t>Kiona Noel</t>
  </si>
  <si>
    <t>KL-2018-5607320</t>
  </si>
  <si>
    <t>Viktor Foster</t>
  </si>
  <si>
    <t>KL-2018-5607402</t>
  </si>
  <si>
    <t>Clara Ferreira</t>
  </si>
  <si>
    <t>KL-2018-5607473</t>
  </si>
  <si>
    <t>Henry Patel</t>
  </si>
  <si>
    <t>KL-2018-5607118</t>
  </si>
  <si>
    <t>Guinevere Ramos</t>
  </si>
  <si>
    <t>KL-2018-5607060</t>
  </si>
  <si>
    <t>Mei Sullivan</t>
  </si>
  <si>
    <t>KL-2018-5607254</t>
  </si>
  <si>
    <t>Guinevere Neal</t>
  </si>
  <si>
    <t>KL-2018-5607424</t>
  </si>
  <si>
    <t>Kiona Russo</t>
  </si>
  <si>
    <t>KL-2018-5607512</t>
  </si>
  <si>
    <t>Carlos Nguyen</t>
  </si>
  <si>
    <t>KL-2018-5607141</t>
  </si>
  <si>
    <t>Wendy Hassan</t>
  </si>
  <si>
    <t>KL-2018-5607458</t>
  </si>
  <si>
    <t>Abbot Adkins</t>
  </si>
  <si>
    <t>KL-2018-5607230</t>
  </si>
  <si>
    <t>Marcus Weber</t>
  </si>
  <si>
    <t>KL-2018-5607503</t>
  </si>
  <si>
    <t>KL-2018-5607242</t>
  </si>
  <si>
    <t>Rashid Eriksson</t>
  </si>
  <si>
    <t>KL-2018-5607109</t>
  </si>
  <si>
    <t>Georgia Lindqvist</t>
  </si>
  <si>
    <t>KL-2018-5607259</t>
  </si>
  <si>
    <t>Mei Nakamura</t>
  </si>
  <si>
    <t>KL-2018-5607093</t>
  </si>
  <si>
    <t>Isla Hassan</t>
  </si>
  <si>
    <t>KL-2018-5607384</t>
  </si>
  <si>
    <t>Sasha Russo</t>
  </si>
  <si>
    <t>KL-2018-5607362</t>
  </si>
  <si>
    <t>Amara Patel</t>
  </si>
  <si>
    <t>KL-2018-5607412</t>
  </si>
  <si>
    <t>Elsa Bowers</t>
  </si>
  <si>
    <t>KL-2018-5607095</t>
  </si>
  <si>
    <t>Wendy Kim</t>
  </si>
  <si>
    <t>KL-2018-5607390</t>
  </si>
  <si>
    <t>Georgia Ahmed</t>
  </si>
  <si>
    <t>KL-2018-5607489</t>
  </si>
  <si>
    <t>Rashid Okafor</t>
  </si>
  <si>
    <t>KL-2018-5607319</t>
  </si>
  <si>
    <t>Hana Noel</t>
  </si>
  <si>
    <t>KL-2018-5607524</t>
  </si>
  <si>
    <t>Nina Wagner</t>
  </si>
  <si>
    <t>KL-2018-5607082</t>
  </si>
  <si>
    <t>Nadia Ferreira</t>
  </si>
  <si>
    <t>KL-2018-5607243</t>
  </si>
  <si>
    <t>KL-2018-5607068</t>
  </si>
  <si>
    <t>Nina Ferreira</t>
  </si>
  <si>
    <t>KL-2018-5607143</t>
  </si>
  <si>
    <t>Priya Weber</t>
  </si>
  <si>
    <t>KL-2018-5607520</t>
  </si>
  <si>
    <t>Ria Ramos</t>
  </si>
  <si>
    <t>KL-2018-5607065</t>
  </si>
  <si>
    <t>Elsa Kane</t>
  </si>
  <si>
    <t>KL-2018-5607228</t>
  </si>
  <si>
    <t>KL-2018-5607279</t>
  </si>
  <si>
    <t>Sasha Schneider</t>
  </si>
  <si>
    <t>KL-2018-5607461</t>
  </si>
  <si>
    <t>Yuki Muller</t>
  </si>
  <si>
    <t>KL-2018-5607391</t>
  </si>
  <si>
    <t>Marcus Lindqvist</t>
  </si>
  <si>
    <t>KL-2018-5607245</t>
  </si>
  <si>
    <t>Priya Petrov</t>
  </si>
  <si>
    <t>KL-2018-5607066</t>
  </si>
  <si>
    <t>Fatima Neal</t>
  </si>
  <si>
    <t>KL-2018-5607189</t>
  </si>
  <si>
    <t>Carlos Kim</t>
  </si>
  <si>
    <t>KL-2018-5607134</t>
  </si>
  <si>
    <t>KL-2018-5607112</t>
  </si>
  <si>
    <t>Nina Schneider</t>
  </si>
  <si>
    <t>KL-2018-5607266</t>
  </si>
  <si>
    <t>Patrick Foster</t>
  </si>
  <si>
    <t>KL-2018-5607439</t>
  </si>
  <si>
    <t>Wendy Hodges</t>
  </si>
  <si>
    <t>KL-2018-5607186</t>
  </si>
  <si>
    <t>Hedda Hodges</t>
  </si>
  <si>
    <t>KL-2018-5607529</t>
  </si>
  <si>
    <t>Ingrid Ferreira</t>
  </si>
  <si>
    <t>KL-2018-5607278</t>
  </si>
  <si>
    <t>KL-2018-5607166</t>
  </si>
  <si>
    <t>KL-2018-5607335</t>
  </si>
  <si>
    <t>Rosa Ferreira</t>
  </si>
  <si>
    <t>KL-2018-5607336</t>
  </si>
  <si>
    <t>Stella Dubois</t>
  </si>
  <si>
    <t>KL-2018-5607292</t>
  </si>
  <si>
    <t>Priya Noel</t>
  </si>
  <si>
    <t>KL-2018-5607198</t>
  </si>
  <si>
    <t>KL-2018-5607208</t>
  </si>
  <si>
    <t>Kiona Rivera</t>
  </si>
  <si>
    <t>KL-2018-5607142</t>
  </si>
  <si>
    <t>Leon Ahmed</t>
  </si>
  <si>
    <t>KL-2018-5607298</t>
  </si>
  <si>
    <t>Sopoline Hassan</t>
  </si>
  <si>
    <t>KL-2018-5607289</t>
  </si>
  <si>
    <t>KL-2018-5607102</t>
  </si>
  <si>
    <t>KL-2018-5607232</t>
  </si>
  <si>
    <t>Yuki Hodges</t>
  </si>
  <si>
    <t>KL-2018-5607200</t>
  </si>
  <si>
    <t>Marcus Foster</t>
  </si>
  <si>
    <t>KL-2018-5607032</t>
  </si>
  <si>
    <t>Andre Costa</t>
  </si>
  <si>
    <t>KL-2018-5607389</t>
  </si>
  <si>
    <t>KL-2018-5607385</t>
  </si>
  <si>
    <t>Isla Kane</t>
  </si>
  <si>
    <t>KL-2018-5607442</t>
  </si>
  <si>
    <t>Raymond Neal</t>
  </si>
  <si>
    <t>KL-2018-5607163</t>
  </si>
  <si>
    <t>Lana Johansson</t>
  </si>
  <si>
    <t>KL-2018-5607168</t>
  </si>
  <si>
    <t>Ivan Rivera</t>
  </si>
  <si>
    <t>KL-2018-5607498</t>
  </si>
  <si>
    <t>Patrick Dejesus</t>
  </si>
  <si>
    <t>KL-2018-5607213</t>
  </si>
  <si>
    <t>Mei Weber</t>
  </si>
  <si>
    <t>KL-2018-5607244</t>
  </si>
  <si>
    <t>Tariq Hassan</t>
  </si>
  <si>
    <t>KL-2018-5607187</t>
  </si>
  <si>
    <t>Yuki Lindqvist</t>
  </si>
  <si>
    <t>KL-2018-5607047</t>
  </si>
  <si>
    <t>Wendy Patel</t>
  </si>
  <si>
    <t>KL-2018-5607414</t>
  </si>
  <si>
    <t>Ingrid Foster</t>
  </si>
  <si>
    <t>KL-2018-5607370</t>
  </si>
  <si>
    <t>Bruno Schneider</t>
  </si>
  <si>
    <t>KL-2018-5607459</t>
  </si>
  <si>
    <t>Leon Bergmann</t>
  </si>
  <si>
    <t>KL-2018-5607181</t>
  </si>
  <si>
    <t>Stella Neal</t>
  </si>
  <si>
    <t>KL-2018-5607176</t>
  </si>
  <si>
    <t>KL-2018-5607405</t>
  </si>
  <si>
    <t>Aristotle Okafor</t>
  </si>
  <si>
    <t>KL-2018-5607342</t>
  </si>
  <si>
    <t>Diana Sullivan</t>
  </si>
  <si>
    <t>KL-2018-5607495</t>
  </si>
  <si>
    <t>KL-2018-5607144</t>
  </si>
  <si>
    <t>Sasha Bowers</t>
  </si>
  <si>
    <t>KL-2018-5607306</t>
  </si>
  <si>
    <t>KL-2018-5607175</t>
  </si>
  <si>
    <t>Tobias Andersen</t>
  </si>
  <si>
    <t>KL-2018-5607039</t>
  </si>
  <si>
    <t>Ria Johansson</t>
  </si>
  <si>
    <t>KL-2018-5607368</t>
  </si>
  <si>
    <t>Georgia Ferreira</t>
  </si>
  <si>
    <t>KL-2018-5607515</t>
  </si>
  <si>
    <t>Dahlia Ramos</t>
  </si>
  <si>
    <t>KL-2018-5607122</t>
  </si>
  <si>
    <t>Amara Neal</t>
  </si>
  <si>
    <t>KL-2018-5607300</t>
  </si>
  <si>
    <t>Wendy Rivera</t>
  </si>
  <si>
    <t>KL-2018-5607174</t>
  </si>
  <si>
    <t>Nina Santos</t>
  </si>
  <si>
    <t>KL-2018-5607476</t>
  </si>
  <si>
    <t>Yuki Schneider</t>
  </si>
  <si>
    <t>KL-2018-5607036</t>
  </si>
  <si>
    <t>Rosa Kim</t>
  </si>
  <si>
    <t>KL-2018-5607064</t>
  </si>
  <si>
    <t>Andre Dubois</t>
  </si>
  <si>
    <t>KL-2018-5607146</t>
  </si>
  <si>
    <t>Samuel Osei</t>
  </si>
  <si>
    <t>KL-2018-5607517</t>
  </si>
  <si>
    <t>Yuki Russo</t>
  </si>
  <si>
    <t>KL-2018-5607205</t>
  </si>
  <si>
    <t>Hedda Okafor</t>
  </si>
  <si>
    <t>KL-2018-5607255</t>
  </si>
  <si>
    <t>Ingrid Barnes</t>
  </si>
  <si>
    <t>KL-2018-5607525</t>
  </si>
  <si>
    <t>KL-2018-5607406</t>
  </si>
  <si>
    <t>Patrick Eriksson</t>
  </si>
  <si>
    <t>KL-2018-5607519</t>
  </si>
  <si>
    <t>Nadia Porter</t>
  </si>
  <si>
    <t>KL-2018-5607096</t>
  </si>
  <si>
    <t>Clara Nakamura</t>
  </si>
  <si>
    <t>KL-2018-5607434</t>
  </si>
  <si>
    <t>Omar Santos</t>
  </si>
  <si>
    <t>KL-2018-5607397</t>
  </si>
  <si>
    <t>Fatima Foster</t>
  </si>
  <si>
    <t>KL-2018-5607061</t>
  </si>
  <si>
    <t>KL-2018-5607231</t>
  </si>
  <si>
    <t>Bruno Petrov</t>
  </si>
  <si>
    <t>KL-2018-5607127</t>
  </si>
  <si>
    <t>Isla Livingston</t>
  </si>
  <si>
    <t>KL-2018-5607443</t>
  </si>
  <si>
    <t>Leon Eriksson</t>
  </si>
  <si>
    <t>KL-2018-5607340</t>
  </si>
  <si>
    <t>Stella Barrett</t>
  </si>
  <si>
    <t>KL-2018-5607369</t>
  </si>
  <si>
    <t>Aristotle Bowers</t>
  </si>
  <si>
    <t>KL-2018-5607345</t>
  </si>
  <si>
    <t>Row Labels</t>
  </si>
  <si>
    <t>Grand Total</t>
  </si>
  <si>
    <t>Sum of Sales</t>
  </si>
  <si>
    <t>Sum of Profit</t>
  </si>
  <si>
    <t>Total</t>
  </si>
  <si>
    <t>Jan</t>
  </si>
  <si>
    <t>Feb</t>
  </si>
  <si>
    <t>Mar</t>
  </si>
  <si>
    <t>Apr</t>
  </si>
  <si>
    <t>May</t>
  </si>
  <si>
    <t>Jun</t>
  </si>
  <si>
    <t>Jul</t>
  </si>
  <si>
    <t>Aug</t>
  </si>
  <si>
    <t>Sep</t>
  </si>
  <si>
    <t>Oct</t>
  </si>
  <si>
    <t>Nov</t>
  </si>
  <si>
    <t>Dec</t>
  </si>
  <si>
    <t>Group1</t>
  </si>
  <si>
    <t>Group2</t>
  </si>
  <si>
    <t>Group3</t>
  </si>
  <si>
    <t>West</t>
  </si>
  <si>
    <t>(All)</t>
  </si>
  <si>
    <t>Sum of Profit2</t>
  </si>
  <si>
    <t>% of Grand Total</t>
  </si>
  <si>
    <t>Compared With India</t>
  </si>
  <si>
    <t>Central Total</t>
  </si>
  <si>
    <t>North Total</t>
  </si>
  <si>
    <t>South Total</t>
  </si>
  <si>
    <t>Parent Total</t>
  </si>
  <si>
    <t>Rank</t>
  </si>
  <si>
    <t>Running Total</t>
  </si>
  <si>
    <t>Sum of Incentives</t>
  </si>
  <si>
    <t>Country2</t>
  </si>
  <si>
    <t>B</t>
  </si>
  <si>
    <t>B Total</t>
  </si>
  <si>
    <t>Zone</t>
  </si>
  <si>
    <t>Customer Type</t>
  </si>
  <si>
    <t>Revenue</t>
  </si>
  <si>
    <t>Cash</t>
  </si>
  <si>
    <t>East</t>
  </si>
  <si>
    <t>Online</t>
  </si>
  <si>
    <t>Sum of Revenue</t>
  </si>
  <si>
    <t>ORDER ID</t>
  </si>
  <si>
    <t>BRAND</t>
  </si>
  <si>
    <t>MONTH</t>
  </si>
  <si>
    <t>STATE</t>
  </si>
  <si>
    <t>CITY</t>
  </si>
  <si>
    <t>QTY</t>
  </si>
  <si>
    <t>AMT</t>
  </si>
  <si>
    <t>NIKE</t>
  </si>
  <si>
    <t>ANDHRA PRADESH</t>
  </si>
  <si>
    <t>VIJAYAWADA</t>
  </si>
  <si>
    <t>ASSAM</t>
  </si>
  <si>
    <t>DHUBRI</t>
  </si>
  <si>
    <t>BIHAR</t>
  </si>
  <si>
    <t>JHARKHAND</t>
  </si>
  <si>
    <t>RANCHI</t>
  </si>
  <si>
    <t>MADHYA PRADESH</t>
  </si>
  <si>
    <t>INDORE</t>
  </si>
  <si>
    <t>MAHARASHTRA</t>
  </si>
  <si>
    <t>AMRAVATI</t>
  </si>
  <si>
    <t>RAJASTHAN</t>
  </si>
  <si>
    <t>JAIPUR</t>
  </si>
  <si>
    <t>WEST BENGAL</t>
  </si>
  <si>
    <t>KOLKATA</t>
  </si>
  <si>
    <t>PUMA</t>
  </si>
  <si>
    <t>ADIDAS</t>
  </si>
  <si>
    <t>TAMIL NADU</t>
  </si>
  <si>
    <t>CHENNAI</t>
  </si>
  <si>
    <t>KARNATAKA</t>
  </si>
  <si>
    <t>Column Labels</t>
  </si>
  <si>
    <t>Sum of AMT</t>
  </si>
  <si>
    <t>PATNA</t>
  </si>
  <si>
    <t>REEBOK</t>
  </si>
  <si>
    <t>ASICS</t>
  </si>
  <si>
    <t>SKECHERS</t>
  </si>
  <si>
    <t>MYSORE</t>
  </si>
  <si>
    <t>SELECT</t>
  </si>
  <si>
    <t>A</t>
  </si>
  <si>
    <t>A Total</t>
  </si>
  <si>
    <t>C</t>
  </si>
  <si>
    <t>C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</si>
</sst>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rgb="FFFFFFFF"/>
      <name val="Arial"/>
    </font>
    <font>
      <sz val="10"/>
      <name val="Arial"/>
    </font>
    <font>
      <sz val="20"/>
      <color theme="1"/>
      <name val="Bahnschrift SemiBold"/>
      <family val="2"/>
    </font>
    <font>
      <sz val="11"/>
      <color theme="2"/>
      <name val="Calibri"/>
      <family val="2"/>
      <scheme val="minor"/>
    </font>
    <font>
      <b/>
      <sz val="11"/>
      <color theme="2"/>
      <name val="Calibri"/>
      <family val="2"/>
      <scheme val="minor"/>
    </font>
  </fonts>
  <fills count="8">
    <fill>
      <patternFill patternType="none"/>
    </fill>
    <fill>
      <patternFill patternType="gray125"/>
    </fill>
    <fill>
      <patternFill patternType="solid">
        <fgColor rgb="FF2E4057"/>
        <bgColor rgb="FF2E4057"/>
      </patternFill>
    </fill>
    <fill>
      <patternFill patternType="solid">
        <fgColor rgb="FFF5F7FA"/>
        <bgColor rgb="FFF5F7FA"/>
      </patternFill>
    </fill>
    <fill>
      <patternFill patternType="solid">
        <fgColor rgb="FFFFFFFF"/>
        <bgColor rgb="FFFFFFFF"/>
      </patternFill>
    </fill>
    <fill>
      <patternFill patternType="solid">
        <fgColor theme="8"/>
        <bgColor indexed="64"/>
      </patternFill>
    </fill>
    <fill>
      <patternFill patternType="solid">
        <fgColor theme="7" tint="-0.499984740745262"/>
        <bgColor indexed="64"/>
      </patternFill>
    </fill>
    <fill>
      <patternFill patternType="solid">
        <fgColor theme="5"/>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41">
    <xf numFmtId="0" fontId="0" fillId="0" borderId="0" xfId="0"/>
    <xf numFmtId="0" fontId="2" fillId="3" borderId="1" xfId="0" applyFont="1" applyFill="1" applyBorder="1" applyAlignment="1">
      <alignment horizontal="left"/>
    </xf>
    <xf numFmtId="0" fontId="2" fillId="3" borderId="1" xfId="0" applyFont="1" applyFill="1" applyBorder="1" applyAlignment="1">
      <alignment horizontal="right"/>
    </xf>
    <xf numFmtId="0" fontId="2" fillId="4" borderId="1" xfId="0" applyFont="1" applyFill="1" applyBorder="1" applyAlignment="1">
      <alignment horizontal="left"/>
    </xf>
    <xf numFmtId="0" fontId="2" fillId="4" borderId="1" xfId="0" applyFont="1" applyFill="1" applyBorder="1" applyAlignment="1">
      <alignment horizontal="right"/>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pivotButton="1" applyAlignment="1">
      <alignment horizontal="left"/>
    </xf>
    <xf numFmtId="14" fontId="2" fillId="3" borderId="1" xfId="0" applyNumberFormat="1" applyFont="1" applyFill="1" applyBorder="1" applyAlignment="1">
      <alignment horizontal="left"/>
    </xf>
    <xf numFmtId="14" fontId="2" fillId="4" borderId="1" xfId="0" applyNumberFormat="1" applyFont="1" applyFill="1" applyBorder="1" applyAlignment="1">
      <alignment horizontal="left"/>
    </xf>
    <xf numFmtId="14" fontId="0" fillId="0" borderId="0" xfId="0" applyNumberFormat="1"/>
    <xf numFmtId="0" fontId="0" fillId="0" borderId="0" xfId="0" applyAlignment="1">
      <alignment horizontal="left" indent="1"/>
    </xf>
    <xf numFmtId="0" fontId="0" fillId="0" borderId="0" xfId="0" pivotButton="1" applyAlignment="1">
      <alignment horizontal="center"/>
    </xf>
    <xf numFmtId="10" fontId="0" fillId="0" borderId="0" xfId="0" applyNumberFormat="1"/>
    <xf numFmtId="14" fontId="0" fillId="0" borderId="0" xfId="0" applyNumberFormat="1" applyAlignment="1">
      <alignment horizontal="left"/>
    </xf>
    <xf numFmtId="0" fontId="2" fillId="3" borderId="2" xfId="0" applyFont="1" applyFill="1" applyBorder="1" applyAlignment="1">
      <alignment horizontal="left"/>
    </xf>
    <xf numFmtId="0" fontId="2" fillId="4" borderId="2" xfId="0" applyFont="1" applyFill="1" applyBorder="1" applyAlignment="1">
      <alignment horizontal="left"/>
    </xf>
    <xf numFmtId="0" fontId="2" fillId="3" borderId="3" xfId="0" applyFont="1" applyFill="1" applyBorder="1" applyAlignment="1">
      <alignment horizontal="right"/>
    </xf>
    <xf numFmtId="0" fontId="2" fillId="4" borderId="3" xfId="0" applyFont="1" applyFill="1" applyBorder="1" applyAlignment="1">
      <alignment horizontal="right"/>
    </xf>
    <xf numFmtId="0" fontId="1" fillId="2" borderId="4"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4" borderId="7" xfId="0" applyFont="1" applyFill="1" applyBorder="1" applyAlignment="1">
      <alignment horizontal="left"/>
    </xf>
    <xf numFmtId="14" fontId="2" fillId="4" borderId="8" xfId="0" applyNumberFormat="1" applyFont="1" applyFill="1" applyBorder="1" applyAlignment="1">
      <alignment horizontal="left"/>
    </xf>
    <xf numFmtId="0" fontId="2" fillId="4" borderId="8" xfId="0" applyFont="1" applyFill="1" applyBorder="1" applyAlignment="1">
      <alignment horizontal="left"/>
    </xf>
    <xf numFmtId="0" fontId="2" fillId="4" borderId="8" xfId="0" applyFont="1" applyFill="1" applyBorder="1" applyAlignment="1">
      <alignment horizontal="right"/>
    </xf>
    <xf numFmtId="0" fontId="2" fillId="4" borderId="9" xfId="0" applyFont="1" applyFill="1" applyBorder="1" applyAlignment="1">
      <alignment horizontal="right"/>
    </xf>
    <xf numFmtId="0" fontId="0" fillId="0" borderId="0" xfId="0" applyFill="1"/>
    <xf numFmtId="0" fontId="0" fillId="0" borderId="0" xfId="0" applyNumberFormat="1" applyFill="1"/>
    <xf numFmtId="0" fontId="0" fillId="0" borderId="0" xfId="0" applyFill="1" applyAlignment="1">
      <alignment horizontal="left"/>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xf>
    <xf numFmtId="0" fontId="3" fillId="5" borderId="0" xfId="0" applyFont="1" applyFill="1" applyAlignment="1">
      <alignment horizontal="center"/>
    </xf>
    <xf numFmtId="0" fontId="0" fillId="5" borderId="0" xfId="0" applyFill="1" applyAlignment="1">
      <alignment horizontal="center"/>
    </xf>
    <xf numFmtId="0" fontId="4" fillId="6" borderId="0" xfId="0" applyFont="1" applyFill="1"/>
    <xf numFmtId="0" fontId="5" fillId="7" borderId="0" xfId="0" applyFont="1" applyFill="1"/>
  </cellXfs>
  <cellStyles count="1">
    <cellStyle name="Normal" xfId="0" builtinId="0"/>
  </cellStyles>
  <dxfs count="34">
    <dxf>
      <alignment horizontal="center"/>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right" vertical="bottom"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righ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m/d/yyyy"/>
      <fill>
        <patternFill patternType="solid">
          <fgColor rgb="FFFFFFFF"/>
          <bgColor rgb="FFFFFFFF"/>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left" vertical="bottom"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fill>
        <patternFill patternType="solid">
          <fgColor rgb="FFFFFFFF"/>
          <bgColor rgb="FFFFFFFF"/>
        </patternFill>
      </fill>
      <alignment horizontal="left" vertical="bottom" textRotation="0" wrapText="0" indent="0" justifyLastLine="0" shrinkToFit="0" readingOrder="0"/>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rgb="FF2E4057"/>
          <bgColor rgb="FF2E4057"/>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ill>
        <patternFill>
          <bgColor theme="1"/>
        </patternFill>
      </fill>
    </dxf>
    <dxf>
      <font>
        <b/>
        <i val="0"/>
        <color theme="0"/>
        <name val="Cambria"/>
        <family val="1"/>
        <scheme val="major"/>
      </font>
      <fill>
        <patternFill>
          <bgColor theme="8" tint="-0.499984740745262"/>
        </patternFill>
      </fill>
    </dxf>
  </dxfs>
  <tableStyles count="1" defaultTableStyle="TableStyleMedium9" defaultPivotStyle="PivotStyleLight16">
    <tableStyle name="Slicer Style 1" pivot="0" table="0" count="3" xr9:uid="{3263DBB0-2A80-440A-B1AD-B62CB7239C22}">
      <tableStyleElement type="wholeTable" dxfId="33"/>
      <tableStyleElement type="headerRow" dxfId="32"/>
    </tableStyle>
  </tableStyles>
  <extLst>
    <ext xmlns:x14="http://schemas.microsoft.com/office/spreadsheetml/2009/9/main" uri="{46F421CA-312F-682f-3DD2-61675219B42D}">
      <x14:dxfs count="1">
        <dxf>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[PivotFilesPractice - Copy.xlsx]Pivot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latin typeface="Bahnschrift SemiBold" panose="020B0502040204020203" pitchFamily="34" charset="0"/>
              </a:rPr>
              <a:t>Region</a:t>
            </a:r>
            <a:r>
              <a:rPr lang="en-US" baseline="0">
                <a:solidFill>
                  <a:schemeClr val="tx2">
                    <a:lumMod val="50000"/>
                  </a:schemeClr>
                </a:solidFill>
                <a:latin typeface="Bahnschrift SemiBold" panose="020B0502040204020203" pitchFamily="34" charset="0"/>
              </a:rPr>
              <a:t> Wise Sales</a:t>
            </a:r>
          </a:p>
        </c:rich>
      </c:tx>
      <c:layout>
        <c:manualLayout>
          <c:xMode val="edge"/>
          <c:yMode val="edge"/>
          <c:x val="0.33654855643044623"/>
          <c:y val="0.11934966462525518"/>
        </c:manualLayout>
      </c:layout>
      <c:overlay val="0"/>
      <c:spPr>
        <a:noFill/>
        <a:ln w="635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Bodoni MT" panose="020706030806060202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55555555555561E-2"/>
          <c:y val="0.24705599300087489"/>
          <c:w val="0.85555555555555551"/>
          <c:h val="0.54832239720034992"/>
        </c:manualLayout>
      </c:layout>
      <c:barChart>
        <c:barDir val="col"/>
        <c:grouping val="clustered"/>
        <c:varyColors val="0"/>
        <c:ser>
          <c:idx val="0"/>
          <c:order val="0"/>
          <c:tx>
            <c:strRef>
              <c:f>'Pivot Chart'!$B$3:$B$4</c:f>
              <c:strCache>
                <c:ptCount val="1"/>
                <c:pt idx="0">
                  <c:v>Total</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Bodoni MT" panose="020706030806060202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Chart'!$A$5:$A$8</c:f>
              <c:strCache>
                <c:ptCount val="3"/>
                <c:pt idx="0">
                  <c:v>South</c:v>
                </c:pt>
                <c:pt idx="1">
                  <c:v>North</c:v>
                </c:pt>
                <c:pt idx="2">
                  <c:v>Central</c:v>
                </c:pt>
              </c:strCache>
            </c:strRef>
          </c:cat>
          <c:val>
            <c:numRef>
              <c:f>'Pivot Chart'!$B$5:$B$8</c:f>
              <c:numCache>
                <c:formatCode>General</c:formatCode>
                <c:ptCount val="3"/>
                <c:pt idx="0">
                  <c:v>424800</c:v>
                </c:pt>
                <c:pt idx="1">
                  <c:v>555198</c:v>
                </c:pt>
                <c:pt idx="2">
                  <c:v>874922</c:v>
                </c:pt>
              </c:numCache>
            </c:numRef>
          </c:val>
          <c:extLst>
            <c:ext xmlns:c16="http://schemas.microsoft.com/office/drawing/2014/chart" uri="{C3380CC4-5D6E-409C-BE32-E72D297353CC}">
              <c16:uniqueId val="{00000002-1DCA-45AA-A2F1-10B8EC3609C3}"/>
            </c:ext>
          </c:extLst>
        </c:ser>
        <c:dLbls>
          <c:dLblPos val="outEnd"/>
          <c:showLegendKey val="0"/>
          <c:showVal val="1"/>
          <c:showCatName val="0"/>
          <c:showSerName val="0"/>
          <c:showPercent val="0"/>
          <c:showBubbleSize val="0"/>
        </c:dLbls>
        <c:gapWidth val="219"/>
        <c:overlap val="-34"/>
        <c:axId val="808479359"/>
        <c:axId val="808479775"/>
      </c:barChart>
      <c:catAx>
        <c:axId val="80847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479775"/>
        <c:crosses val="autoZero"/>
        <c:auto val="1"/>
        <c:lblAlgn val="ctr"/>
        <c:lblOffset val="100"/>
        <c:noMultiLvlLbl val="0"/>
      </c:catAx>
      <c:valAx>
        <c:axId val="8084797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8479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[PivotFilesPractice - Copy.xlsx]Pivot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75000"/>
            </a:schemeClr>
          </a:solidFill>
          <a:ln w="19050">
            <a:solidFill>
              <a:schemeClr val="lt1"/>
            </a:solidFill>
          </a:ln>
          <a:effectLst/>
        </c:spPr>
      </c:pivotFmt>
      <c:pivotFmt>
        <c:idx val="2"/>
        <c:spPr>
          <a:solidFill>
            <a:schemeClr val="tx2">
              <a:lumMod val="75000"/>
            </a:schemeClr>
          </a:solidFill>
          <a:ln w="19050">
            <a:solidFill>
              <a:schemeClr val="lt1"/>
            </a:solidFill>
          </a:ln>
          <a:effectLst/>
        </c:spPr>
      </c:pivotFmt>
      <c:pivotFmt>
        <c:idx val="3"/>
        <c:spPr>
          <a:solidFill>
            <a:schemeClr val="tx2">
              <a:lumMod val="75000"/>
            </a:schemeClr>
          </a:solidFill>
          <a:ln w="19050">
            <a:solidFill>
              <a:schemeClr val="lt1"/>
            </a:solidFill>
          </a:ln>
          <a:effectLst/>
        </c:spPr>
      </c:pivotFmt>
      <c:pivotFmt>
        <c:idx val="4"/>
        <c:spPr>
          <a:solidFill>
            <a:schemeClr val="tx2">
              <a:lumMod val="75000"/>
            </a:schemeClr>
          </a:solidFill>
          <a:ln w="19050">
            <a:solidFill>
              <a:schemeClr val="lt1"/>
            </a:solidFill>
          </a:ln>
          <a:effectLst/>
        </c:spPr>
      </c:pivotFmt>
      <c:pivotFmt>
        <c:idx val="5"/>
        <c:spPr>
          <a:solidFill>
            <a:schemeClr val="tx2">
              <a:lumMod val="75000"/>
            </a:schemeClr>
          </a:solidFill>
          <a:ln w="19050">
            <a:solidFill>
              <a:schemeClr val="lt1"/>
            </a:solidFill>
          </a:ln>
          <a:effectLst/>
        </c:spPr>
      </c:pivotFmt>
      <c:pivotFmt>
        <c:idx val="6"/>
        <c:spPr>
          <a:solidFill>
            <a:schemeClr val="tx2">
              <a:lumMod val="75000"/>
            </a:schemeClr>
          </a:solidFill>
          <a:ln w="19050">
            <a:solidFill>
              <a:schemeClr val="lt1"/>
            </a:solidFill>
          </a:ln>
          <a:effectLst/>
        </c:spPr>
      </c:pivotFmt>
    </c:pivotFmts>
    <c:plotArea>
      <c:layout/>
      <c:pieChart>
        <c:varyColors val="1"/>
        <c:ser>
          <c:idx val="0"/>
          <c:order val="0"/>
          <c:tx>
            <c:strRef>
              <c:f>'Pivot Chart'!$B$20</c:f>
              <c:strCache>
                <c:ptCount val="1"/>
                <c:pt idx="0">
                  <c:v>Total</c:v>
                </c:pt>
              </c:strCache>
            </c:strRef>
          </c:tx>
          <c:spPr>
            <a:solidFill>
              <a:schemeClr val="tx2">
                <a:lumMod val="75000"/>
              </a:schemeClr>
            </a:solidFill>
          </c:spPr>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ED17-47D9-9CAA-287A42BE1B81}"/>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ED17-47D9-9CAA-287A42BE1B81}"/>
              </c:ext>
            </c:extLst>
          </c:dPt>
          <c:dPt>
            <c:idx val="2"/>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5-ED17-47D9-9CAA-287A42BE1B81}"/>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7-ED17-47D9-9CAA-287A42BE1B81}"/>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9-ED17-47D9-9CAA-287A42BE1B81}"/>
              </c:ext>
            </c:extLst>
          </c:dPt>
          <c:dPt>
            <c:idx val="5"/>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B-ED17-47D9-9CAA-287A42BE1B8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Chart'!$A$21:$A$27</c:f>
              <c:strCache>
                <c:ptCount val="6"/>
                <c:pt idx="0">
                  <c:v>Hovedstaden</c:v>
                </c:pt>
                <c:pt idx="1">
                  <c:v>Lesser Poland</c:v>
                </c:pt>
                <c:pt idx="2">
                  <c:v>Masovian</c:v>
                </c:pt>
                <c:pt idx="3">
                  <c:v>Skane</c:v>
                </c:pt>
                <c:pt idx="4">
                  <c:v>South Denmark</c:v>
                </c:pt>
                <c:pt idx="5">
                  <c:v>Stockholm</c:v>
                </c:pt>
              </c:strCache>
            </c:strRef>
          </c:cat>
          <c:val>
            <c:numRef>
              <c:f>'Pivot Chart'!$B$21:$B$27</c:f>
              <c:numCache>
                <c:formatCode>General</c:formatCode>
                <c:ptCount val="6"/>
                <c:pt idx="0">
                  <c:v>73653</c:v>
                </c:pt>
                <c:pt idx="1">
                  <c:v>98603</c:v>
                </c:pt>
                <c:pt idx="2">
                  <c:v>89588</c:v>
                </c:pt>
                <c:pt idx="3">
                  <c:v>92073</c:v>
                </c:pt>
                <c:pt idx="4">
                  <c:v>90929</c:v>
                </c:pt>
                <c:pt idx="5">
                  <c:v>110352</c:v>
                </c:pt>
              </c:numCache>
            </c:numRef>
          </c:val>
          <c:extLst>
            <c:ext xmlns:c16="http://schemas.microsoft.com/office/drawing/2014/chart" uri="{C3380CC4-5D6E-409C-BE32-E72D297353CC}">
              <c16:uniqueId val="{00000000-BD3E-4E5B-939E-D3BF59F3F27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[PivotFilesPractice - Copy.xlsx]Dynamic 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55FA46-6651-46FA-8B1D-104882946775}" type="VALUE">
                  <a:rPr lang="en-US" sz="800">
                    <a:latin typeface="Akaash" panose="02000603000000000000" pitchFamily="2" charset="0"/>
                    <a:cs typeface="Akaash" panose="02000603000000000000" pitchFamily="2"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pivotFmt>
    </c:pivotFmts>
    <c:plotArea>
      <c:layout>
        <c:manualLayout>
          <c:layoutTarget val="inner"/>
          <c:xMode val="edge"/>
          <c:yMode val="edge"/>
          <c:x val="8.1415872675915574E-2"/>
          <c:y val="0.27717351970790216"/>
          <c:w val="0.80580738127243312"/>
          <c:h val="0.33511700311605497"/>
        </c:manualLayout>
      </c:layout>
      <c:barChart>
        <c:barDir val="col"/>
        <c:grouping val="clustered"/>
        <c:varyColors val="0"/>
        <c:ser>
          <c:idx val="0"/>
          <c:order val="0"/>
          <c:tx>
            <c:strRef>
              <c:f>'Dynamic Pivot Table'!$I$8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244C-4394-BC80-89C654BE2FE6}"/>
              </c:ext>
            </c:extLst>
          </c:dPt>
          <c:dLbls>
            <c:dLbl>
              <c:idx val="0"/>
              <c:tx>
                <c:rich>
                  <a:bodyPr/>
                  <a:lstStyle/>
                  <a:p>
                    <a:fld id="{2255FA46-6651-46FA-8B1D-104882946775}" type="VALUE">
                      <a:rPr lang="en-US" sz="800">
                        <a:latin typeface="Akaash" panose="02000603000000000000" pitchFamily="2" charset="0"/>
                        <a:cs typeface="Akaash" panose="02000603000000000000" pitchFamily="2"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44C-4394-BC80-89C654BE2F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'Dynamic Pivot Table'!$H$9:$H$11</c:f>
              <c:strCache>
                <c:ptCount val="2"/>
                <c:pt idx="0">
                  <c:v>Cash</c:v>
                </c:pt>
                <c:pt idx="1">
                  <c:v>Online</c:v>
                </c:pt>
              </c:strCache>
            </c:strRef>
          </c:cat>
          <c:val>
            <c:numRef>
              <c:f>'Dynamic Pivot Table'!$I$9:$I$11</c:f>
              <c:numCache>
                <c:formatCode>General</c:formatCode>
                <c:ptCount val="2"/>
                <c:pt idx="0">
                  <c:v>19570</c:v>
                </c:pt>
                <c:pt idx="1">
                  <c:v>15741</c:v>
                </c:pt>
              </c:numCache>
            </c:numRef>
          </c:val>
          <c:extLst>
            <c:ext xmlns:c16="http://schemas.microsoft.com/office/drawing/2014/chart" uri="{C3380CC4-5D6E-409C-BE32-E72D297353CC}">
              <c16:uniqueId val="{00000000-244C-4394-BC80-89C654BE2FE6}"/>
            </c:ext>
          </c:extLst>
        </c:ser>
        <c:dLbls>
          <c:dLblPos val="outEnd"/>
          <c:showLegendKey val="0"/>
          <c:showVal val="1"/>
          <c:showCatName val="0"/>
          <c:showSerName val="0"/>
          <c:showPercent val="0"/>
          <c:showBubbleSize val="0"/>
        </c:dLbls>
        <c:gapWidth val="219"/>
        <c:overlap val="-27"/>
        <c:axId val="162127712"/>
        <c:axId val="162124384"/>
      </c:barChart>
      <c:catAx>
        <c:axId val="16212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24384"/>
        <c:crosses val="autoZero"/>
        <c:auto val="1"/>
        <c:lblAlgn val="ctr"/>
        <c:lblOffset val="100"/>
        <c:noMultiLvlLbl val="0"/>
      </c:catAx>
      <c:valAx>
        <c:axId val="1621243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12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28574</xdr:colOff>
      <xdr:row>6</xdr:row>
      <xdr:rowOff>171450</xdr:rowOff>
    </xdr:from>
    <xdr:to>
      <xdr:col>13</xdr:col>
      <xdr:colOff>28575</xdr:colOff>
      <xdr:row>14</xdr:row>
      <xdr:rowOff>47625</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274A10C1-C608-4E82-9702-5E1D0A875A5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562474" y="1314450"/>
              <a:ext cx="4267201" cy="14001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0</xdr:row>
      <xdr:rowOff>185737</xdr:rowOff>
    </xdr:from>
    <xdr:to>
      <xdr:col>9</xdr:col>
      <xdr:colOff>200025</xdr:colOff>
      <xdr:row>12</xdr:row>
      <xdr:rowOff>0</xdr:rowOff>
    </xdr:to>
    <xdr:graphicFrame macro="">
      <xdr:nvGraphicFramePr>
        <xdr:cNvPr id="2" name="Chart 1">
          <a:extLst>
            <a:ext uri="{FF2B5EF4-FFF2-40B4-BE49-F238E27FC236}">
              <a16:creationId xmlns:a16="http://schemas.microsoft.com/office/drawing/2014/main" id="{29F0A0EA-7376-415E-8082-C73C0125A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16</xdr:row>
      <xdr:rowOff>176211</xdr:rowOff>
    </xdr:from>
    <xdr:to>
      <xdr:col>10</xdr:col>
      <xdr:colOff>276225</xdr:colOff>
      <xdr:row>35</xdr:row>
      <xdr:rowOff>85725</xdr:rowOff>
    </xdr:to>
    <xdr:graphicFrame macro="">
      <xdr:nvGraphicFramePr>
        <xdr:cNvPr id="3" name="Chart 2">
          <a:extLst>
            <a:ext uri="{FF2B5EF4-FFF2-40B4-BE49-F238E27FC236}">
              <a16:creationId xmlns:a16="http://schemas.microsoft.com/office/drawing/2014/main" id="{BD741BE0-927B-4699-8093-68DF12276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9525</xdr:colOff>
      <xdr:row>10</xdr:row>
      <xdr:rowOff>133351</xdr:rowOff>
    </xdr:from>
    <xdr:to>
      <xdr:col>9</xdr:col>
      <xdr:colOff>28575</xdr:colOff>
      <xdr:row>26</xdr:row>
      <xdr:rowOff>47625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CAA947EF-131B-422B-AD68-769890723F2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895850" y="2038351"/>
              <a:ext cx="1847850" cy="2962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19049</xdr:colOff>
      <xdr:row>3</xdr:row>
      <xdr:rowOff>9524</xdr:rowOff>
    </xdr:from>
    <xdr:to>
      <xdr:col>9</xdr:col>
      <xdr:colOff>28574</xdr:colOff>
      <xdr:row>9</xdr:row>
      <xdr:rowOff>161925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E83573B-09C2-41D9-9E09-6109CA8C2F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05374" y="581024"/>
              <a:ext cx="1838325" cy="1295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605118</xdr:colOff>
      <xdr:row>12</xdr:row>
      <xdr:rowOff>0</xdr:rowOff>
    </xdr:from>
    <xdr:to>
      <xdr:col>8</xdr:col>
      <xdr:colOff>1025338</xdr:colOff>
      <xdr:row>18</xdr:row>
      <xdr:rowOff>100853</xdr:rowOff>
    </xdr:to>
    <xdr:graphicFrame macro="">
      <xdr:nvGraphicFramePr>
        <xdr:cNvPr id="2" name="Chart 1">
          <a:extLst>
            <a:ext uri="{FF2B5EF4-FFF2-40B4-BE49-F238E27FC236}">
              <a16:creationId xmlns:a16="http://schemas.microsoft.com/office/drawing/2014/main" id="{D89F9785-4C29-4B79-84F8-BBF25B9D4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fatul" refreshedDate="46201.989077546299" createdVersion="7" refreshedVersion="7" minRefreshableVersion="3" recordCount="500" xr:uid="{6CBFE5D6-34AC-43BB-AE39-D721A17AD498}">
  <cacheSource type="worksheet">
    <worksheetSource ref="A1:I501" sheet="Pivot Table"/>
  </cacheSource>
  <cacheFields count="14">
    <cacheField name="Order ID" numFmtId="0">
      <sharedItems/>
    </cacheField>
    <cacheField name="Order Date" numFmtId="14">
      <sharedItems containsSemiMixedTypes="0" containsNonDate="0" containsDate="1" containsString="0" minDate="2018-01-02T00:00:00" maxDate="2020-12-31T00:00:00" count="401">
        <d v="2020-02-01T00:00:00"/>
        <d v="2018-03-01T00:00:00"/>
        <d v="2020-04-01T00:00:00"/>
        <d v="2018-05-01T00:00:00"/>
        <d v="2018-06-01T00:00:00"/>
        <d v="2020-06-01T00:00:00"/>
        <d v="2020-07-01T00:00:00"/>
        <d v="2018-08-01T00:00:00"/>
        <d v="2020-10-01T00:00:00"/>
        <d v="2020-11-01T00:00:00"/>
        <d v="2020-12-01T00:00:00"/>
        <d v="2018-01-02T00:00:00"/>
        <d v="2019-03-02T00:00:00"/>
        <d v="2020-03-02T00:00:00"/>
        <d v="2018-05-02T00:00:00"/>
        <d v="2019-05-02T00:00:00"/>
        <d v="2020-05-02T00:00:00"/>
        <d v="2019-06-02T00:00:00"/>
        <d v="2019-07-02T00:00:00"/>
        <d v="2018-08-02T00:00:00"/>
        <d v="2019-08-02T00:00:00"/>
        <d v="2020-10-02T00:00:00"/>
        <d v="2018-11-02T00:00:00"/>
        <d v="2018-12-02T00:00:00"/>
        <d v="2019-02-03T00:00:00"/>
        <d v="2020-03-03T00:00:00"/>
        <d v="2018-04-03T00:00:00"/>
        <d v="2018-05-03T00:00:00"/>
        <d v="2019-05-03T00:00:00"/>
        <d v="2018-06-03T00:00:00"/>
        <d v="2020-06-03T00:00:00"/>
        <d v="2019-08-03T00:00:00"/>
        <d v="2020-08-03T00:00:00"/>
        <d v="2018-09-03T00:00:00"/>
        <d v="2019-09-03T00:00:00"/>
        <d v="2018-11-03T00:00:00"/>
        <d v="2019-11-03T00:00:00"/>
        <d v="2019-12-03T00:00:00"/>
        <d v="2020-12-03T00:00:00"/>
        <d v="2020-02-04T00:00:00"/>
        <d v="2020-03-04T00:00:00"/>
        <d v="2018-04-04T00:00:00"/>
        <d v="2019-05-04T00:00:00"/>
        <d v="2018-07-04T00:00:00"/>
        <d v="2019-07-04T00:00:00"/>
        <d v="2019-08-04T00:00:00"/>
        <d v="2019-09-04T00:00:00"/>
        <d v="2019-10-04T00:00:00"/>
        <d v="2019-11-04T00:00:00"/>
        <d v="2019-12-04T00:00:00"/>
        <d v="2020-12-04T00:00:00"/>
        <d v="2019-01-05T00:00:00"/>
        <d v="2020-01-05T00:00:00"/>
        <d v="2018-03-05T00:00:00"/>
        <d v="2019-03-05T00:00:00"/>
        <d v="2018-04-05T00:00:00"/>
        <d v="2020-04-05T00:00:00"/>
        <d v="2019-05-05T00:00:00"/>
        <d v="2019-06-05T00:00:00"/>
        <d v="2018-07-05T00:00:00"/>
        <d v="2019-07-05T00:00:00"/>
        <d v="2018-08-05T00:00:00"/>
        <d v="2019-09-05T00:00:00"/>
        <d v="2018-10-05T00:00:00"/>
        <d v="2019-10-05T00:00:00"/>
        <d v="2020-11-05T00:00:00"/>
        <d v="2019-12-05T00:00:00"/>
        <d v="2018-01-06T00:00:00"/>
        <d v="2019-01-06T00:00:00"/>
        <d v="2020-01-06T00:00:00"/>
        <d v="2019-02-06T00:00:00"/>
        <d v="2020-02-06T00:00:00"/>
        <d v="2019-05-06T00:00:00"/>
        <d v="2020-09-06T00:00:00"/>
        <d v="2018-10-06T00:00:00"/>
        <d v="2019-10-06T00:00:00"/>
        <d v="2020-11-06T00:00:00"/>
        <d v="2019-12-06T00:00:00"/>
        <d v="2020-12-06T00:00:00"/>
        <d v="2020-01-07T00:00:00"/>
        <d v="2019-04-07T00:00:00"/>
        <d v="2020-05-07T00:00:00"/>
        <d v="2019-06-07T00:00:00"/>
        <d v="2020-06-07T00:00:00"/>
        <d v="2018-08-07T00:00:00"/>
        <d v="2018-09-07T00:00:00"/>
        <d v="2020-09-07T00:00:00"/>
        <d v="2019-10-07T00:00:00"/>
        <d v="2020-10-07T00:00:00"/>
        <d v="2020-11-07T00:00:00"/>
        <d v="2020-12-07T00:00:00"/>
        <d v="2020-02-08T00:00:00"/>
        <d v="2019-04-08T00:00:00"/>
        <d v="2020-04-08T00:00:00"/>
        <d v="2018-05-08T00:00:00"/>
        <d v="2020-05-08T00:00:00"/>
        <d v="2020-07-08T00:00:00"/>
        <d v="2018-08-08T00:00:00"/>
        <d v="2020-08-08T00:00:00"/>
        <d v="2020-09-08T00:00:00"/>
        <d v="2018-10-08T00:00:00"/>
        <d v="2019-11-08T00:00:00"/>
        <d v="2018-01-09T00:00:00"/>
        <d v="2020-01-09T00:00:00"/>
        <d v="2019-02-09T00:00:00"/>
        <d v="2018-03-09T00:00:00"/>
        <d v="2020-04-09T00:00:00"/>
        <d v="2018-05-09T00:00:00"/>
        <d v="2019-05-09T00:00:00"/>
        <d v="2020-05-09T00:00:00"/>
        <d v="2018-06-09T00:00:00"/>
        <d v="2019-08-09T00:00:00"/>
        <d v="2018-10-09T00:00:00"/>
        <d v="2018-11-09T00:00:00"/>
        <d v="2019-11-09T00:00:00"/>
        <d v="2018-12-09T00:00:00"/>
        <d v="2020-01-10T00:00:00"/>
        <d v="2018-02-10T00:00:00"/>
        <d v="2019-02-10T00:00:00"/>
        <d v="2020-02-10T00:00:00"/>
        <d v="2018-03-10T00:00:00"/>
        <d v="2018-04-10T00:00:00"/>
        <d v="2020-05-10T00:00:00"/>
        <d v="2020-06-10T00:00:00"/>
        <d v="2018-07-10T00:00:00"/>
        <d v="2020-07-10T00:00:00"/>
        <d v="2018-11-10T00:00:00"/>
        <d v="2019-11-10T00:00:00"/>
        <d v="2018-12-10T00:00:00"/>
        <d v="2018-01-11T00:00:00"/>
        <d v="2020-01-11T00:00:00"/>
        <d v="2019-03-11T00:00:00"/>
        <d v="2020-05-11T00:00:00"/>
        <d v="2020-07-11T00:00:00"/>
        <d v="2018-09-11T00:00:00"/>
        <d v="2019-09-11T00:00:00"/>
        <d v="2020-09-11T00:00:00"/>
        <d v="2018-10-11T00:00:00"/>
        <d v="2019-11-11T00:00:00"/>
        <d v="2018-02-12T00:00:00"/>
        <d v="2019-02-12T00:00:00"/>
        <d v="2019-03-12T00:00:00"/>
        <d v="2020-03-12T00:00:00"/>
        <d v="2018-04-12T00:00:00"/>
        <d v="2019-04-12T00:00:00"/>
        <d v="2020-04-12T00:00:00"/>
        <d v="2020-05-12T00:00:00"/>
        <d v="2020-06-12T00:00:00"/>
        <d v="2020-07-12T00:00:00"/>
        <d v="2018-08-12T00:00:00"/>
        <d v="2020-08-12T00:00:00"/>
        <d v="2020-10-12T00:00:00"/>
        <d v="2018-11-12T00:00:00"/>
        <d v="2019-11-12T00:00:00"/>
        <d v="2020-11-12T00:00:00"/>
        <d v="2020-01-13T00:00:00"/>
        <d v="2018-02-13T00:00:00"/>
        <d v="2018-03-13T00:00:00"/>
        <d v="2019-03-13T00:00:00"/>
        <d v="2020-04-13T00:00:00"/>
        <d v="2018-05-13T00:00:00"/>
        <d v="2019-05-13T00:00:00"/>
        <d v="2020-05-13T00:00:00"/>
        <d v="2018-06-13T00:00:00"/>
        <d v="2020-06-13T00:00:00"/>
        <d v="2019-09-13T00:00:00"/>
        <d v="2018-10-13T00:00:00"/>
        <d v="2019-11-13T00:00:00"/>
        <d v="2018-01-14T00:00:00"/>
        <d v="2020-01-14T00:00:00"/>
        <d v="2019-03-14T00:00:00"/>
        <d v="2020-05-14T00:00:00"/>
        <d v="2019-06-14T00:00:00"/>
        <d v="2020-06-14T00:00:00"/>
        <d v="2019-08-14T00:00:00"/>
        <d v="2020-08-14T00:00:00"/>
        <d v="2018-10-14T00:00:00"/>
        <d v="2020-10-14T00:00:00"/>
        <d v="2019-12-14T00:00:00"/>
        <d v="2020-12-14T00:00:00"/>
        <d v="2019-02-15T00:00:00"/>
        <d v="2018-03-15T00:00:00"/>
        <d v="2020-03-15T00:00:00"/>
        <d v="2018-05-15T00:00:00"/>
        <d v="2019-07-15T00:00:00"/>
        <d v="2020-07-15T00:00:00"/>
        <d v="2018-08-15T00:00:00"/>
        <d v="2018-09-15T00:00:00"/>
        <d v="2019-09-15T00:00:00"/>
        <d v="2020-09-15T00:00:00"/>
        <d v="2020-10-15T00:00:00"/>
        <d v="2018-11-15T00:00:00"/>
        <d v="2018-12-15T00:00:00"/>
        <d v="2020-01-16T00:00:00"/>
        <d v="2020-02-16T00:00:00"/>
        <d v="2020-04-16T00:00:00"/>
        <d v="2020-05-16T00:00:00"/>
        <d v="2019-09-16T00:00:00"/>
        <d v="2019-10-16T00:00:00"/>
        <d v="2018-12-16T00:00:00"/>
        <d v="2020-01-17T00:00:00"/>
        <d v="2019-04-17T00:00:00"/>
        <d v="2019-05-17T00:00:00"/>
        <d v="2020-05-17T00:00:00"/>
        <d v="2018-07-17T00:00:00"/>
        <d v="2019-07-17T00:00:00"/>
        <d v="2018-08-17T00:00:00"/>
        <d v="2019-08-17T00:00:00"/>
        <d v="2018-09-17T00:00:00"/>
        <d v="2018-10-17T00:00:00"/>
        <d v="2019-12-17T00:00:00"/>
        <d v="2018-02-18T00:00:00"/>
        <d v="2020-02-18T00:00:00"/>
        <d v="2018-03-18T00:00:00"/>
        <d v="2020-03-18T00:00:00"/>
        <d v="2018-04-18T00:00:00"/>
        <d v="2020-05-18T00:00:00"/>
        <d v="2020-06-18T00:00:00"/>
        <d v="2020-08-18T00:00:00"/>
        <d v="2019-09-18T00:00:00"/>
        <d v="2020-09-18T00:00:00"/>
        <d v="2020-10-18T00:00:00"/>
        <d v="2019-11-18T00:00:00"/>
        <d v="2019-01-19T00:00:00"/>
        <d v="2020-02-19T00:00:00"/>
        <d v="2020-03-19T00:00:00"/>
        <d v="2020-04-19T00:00:00"/>
        <d v="2018-05-19T00:00:00"/>
        <d v="2019-06-19T00:00:00"/>
        <d v="2018-08-19T00:00:00"/>
        <d v="2018-11-19T00:00:00"/>
        <d v="2020-12-19T00:00:00"/>
        <d v="2020-01-20T00:00:00"/>
        <d v="2019-02-20T00:00:00"/>
        <d v="2020-02-20T00:00:00"/>
        <d v="2020-05-20T00:00:00"/>
        <d v="2020-07-20T00:00:00"/>
        <d v="2018-08-20T00:00:00"/>
        <d v="2019-09-20T00:00:00"/>
        <d v="2020-10-20T00:00:00"/>
        <d v="2018-11-20T00:00:00"/>
        <d v="2019-11-20T00:00:00"/>
        <d v="2020-11-20T00:00:00"/>
        <d v="2019-01-21T00:00:00"/>
        <d v="2020-01-21T00:00:00"/>
        <d v="2019-02-21T00:00:00"/>
        <d v="2020-02-21T00:00:00"/>
        <d v="2018-03-21T00:00:00"/>
        <d v="2020-03-21T00:00:00"/>
        <d v="2018-04-21T00:00:00"/>
        <d v="2018-05-21T00:00:00"/>
        <d v="2019-05-21T00:00:00"/>
        <d v="2020-06-21T00:00:00"/>
        <d v="2019-07-21T00:00:00"/>
        <d v="2018-08-21T00:00:00"/>
        <d v="2020-08-21T00:00:00"/>
        <d v="2019-09-21T00:00:00"/>
        <d v="2020-09-21T00:00:00"/>
        <d v="2018-10-21T00:00:00"/>
        <d v="2019-11-21T00:00:00"/>
        <d v="2020-11-21T00:00:00"/>
        <d v="2018-12-21T00:00:00"/>
        <d v="2020-12-21T00:00:00"/>
        <d v="2019-01-22T00:00:00"/>
        <d v="2018-02-22T00:00:00"/>
        <d v="2018-03-22T00:00:00"/>
        <d v="2018-04-22T00:00:00"/>
        <d v="2020-04-22T00:00:00"/>
        <d v="2018-05-22T00:00:00"/>
        <d v="2019-05-22T00:00:00"/>
        <d v="2020-06-22T00:00:00"/>
        <d v="2018-08-22T00:00:00"/>
        <d v="2019-08-22T00:00:00"/>
        <d v="2020-08-22T00:00:00"/>
        <d v="2018-09-22T00:00:00"/>
        <d v="2018-10-22T00:00:00"/>
        <d v="2019-11-22T00:00:00"/>
        <d v="2018-12-22T00:00:00"/>
        <d v="2019-12-22T00:00:00"/>
        <d v="2020-12-22T00:00:00"/>
        <d v="2020-01-23T00:00:00"/>
        <d v="2018-02-23T00:00:00"/>
        <d v="2020-02-23T00:00:00"/>
        <d v="2019-03-23T00:00:00"/>
        <d v="2018-04-23T00:00:00"/>
        <d v="2019-04-23T00:00:00"/>
        <d v="2019-05-23T00:00:00"/>
        <d v="2020-05-23T00:00:00"/>
        <d v="2018-06-23T00:00:00"/>
        <d v="2019-06-23T00:00:00"/>
        <d v="2020-06-23T00:00:00"/>
        <d v="2018-07-23T00:00:00"/>
        <d v="2020-08-23T00:00:00"/>
        <d v="2020-09-23T00:00:00"/>
        <d v="2019-10-23T00:00:00"/>
        <d v="2020-10-23T00:00:00"/>
        <d v="2020-12-23T00:00:00"/>
        <d v="2018-01-24T00:00:00"/>
        <d v="2019-01-24T00:00:00"/>
        <d v="2018-02-24T00:00:00"/>
        <d v="2020-02-24T00:00:00"/>
        <d v="2019-03-24T00:00:00"/>
        <d v="2020-03-24T00:00:00"/>
        <d v="2020-04-24T00:00:00"/>
        <d v="2019-05-24T00:00:00"/>
        <d v="2020-05-24T00:00:00"/>
        <d v="2019-06-24T00:00:00"/>
        <d v="2020-06-24T00:00:00"/>
        <d v="2018-07-24T00:00:00"/>
        <d v="2020-08-24T00:00:00"/>
        <d v="2019-09-24T00:00:00"/>
        <d v="2018-11-24T00:00:00"/>
        <d v="2019-12-24T00:00:00"/>
        <d v="2019-01-25T00:00:00"/>
        <d v="2020-01-25T00:00:00"/>
        <d v="2018-02-25T00:00:00"/>
        <d v="2020-03-25T00:00:00"/>
        <d v="2018-04-25T00:00:00"/>
        <d v="2019-04-25T00:00:00"/>
        <d v="2020-05-25T00:00:00"/>
        <d v="2018-06-25T00:00:00"/>
        <d v="2019-07-25T00:00:00"/>
        <d v="2018-08-25T00:00:00"/>
        <d v="2020-09-25T00:00:00"/>
        <d v="2019-10-25T00:00:00"/>
        <d v="2018-11-25T00:00:00"/>
        <d v="2020-11-25T00:00:00"/>
        <d v="2018-12-25T00:00:00"/>
        <d v="2020-01-26T00:00:00"/>
        <d v="2020-02-26T00:00:00"/>
        <d v="2020-03-26T00:00:00"/>
        <d v="2018-05-26T00:00:00"/>
        <d v="2019-05-26T00:00:00"/>
        <d v="2020-05-26T00:00:00"/>
        <d v="2020-06-26T00:00:00"/>
        <d v="2018-07-26T00:00:00"/>
        <d v="2019-07-26T00:00:00"/>
        <d v="2020-07-26T00:00:00"/>
        <d v="2018-09-26T00:00:00"/>
        <d v="2020-10-26T00:00:00"/>
        <d v="2019-11-26T00:00:00"/>
        <d v="2018-12-26T00:00:00"/>
        <d v="2020-12-26T00:00:00"/>
        <d v="2019-01-27T00:00:00"/>
        <d v="2019-04-27T00:00:00"/>
        <d v="2020-04-27T00:00:00"/>
        <d v="2018-05-27T00:00:00"/>
        <d v="2020-05-27T00:00:00"/>
        <d v="2019-06-27T00:00:00"/>
        <d v="2020-06-27T00:00:00"/>
        <d v="2018-07-27T00:00:00"/>
        <d v="2019-07-27T00:00:00"/>
        <d v="2018-09-27T00:00:00"/>
        <d v="2020-09-27T00:00:00"/>
        <d v="2018-10-27T00:00:00"/>
        <d v="2019-10-27T00:00:00"/>
        <d v="2019-11-27T00:00:00"/>
        <d v="2020-11-27T00:00:00"/>
        <d v="2018-12-27T00:00:00"/>
        <d v="2019-12-27T00:00:00"/>
        <d v="2019-03-28T00:00:00"/>
        <d v="2019-04-28T00:00:00"/>
        <d v="2020-04-28T00:00:00"/>
        <d v="2018-06-28T00:00:00"/>
        <d v="2020-06-28T00:00:00"/>
        <d v="2018-07-28T00:00:00"/>
        <d v="2019-08-28T00:00:00"/>
        <d v="2018-09-28T00:00:00"/>
        <d v="2019-09-28T00:00:00"/>
        <d v="2019-10-28T00:00:00"/>
        <d v="2019-11-28T00:00:00"/>
        <d v="2018-01-29T00:00:00"/>
        <d v="2019-03-29T00:00:00"/>
        <d v="2018-05-29T00:00:00"/>
        <d v="2019-05-29T00:00:00"/>
        <d v="2020-06-29T00:00:00"/>
        <d v="2018-07-29T00:00:00"/>
        <d v="2020-07-29T00:00:00"/>
        <d v="2020-08-29T00:00:00"/>
        <d v="2019-09-29T00:00:00"/>
        <d v="2020-09-29T00:00:00"/>
        <d v="2019-12-29T00:00:00"/>
        <d v="2020-12-29T00:00:00"/>
        <d v="2019-01-30T00:00:00"/>
        <d v="2020-01-30T00:00:00"/>
        <d v="2018-03-30T00:00:00"/>
        <d v="2018-04-30T00:00:00"/>
        <d v="2020-04-30T00:00:00"/>
        <d v="2018-07-30T00:00:00"/>
        <d v="2020-07-30T00:00:00"/>
        <d v="2018-08-30T00:00:00"/>
        <d v="2018-09-30T00:00:00"/>
        <d v="2020-09-30T00:00:00"/>
        <d v="2020-10-30T00:00:00"/>
        <d v="2020-11-30T00:00:00"/>
        <d v="2020-12-30T00:00:00"/>
        <d v="2018-01-31T00:00:00"/>
        <d v="2019-03-31T00:00:00"/>
        <d v="2020-03-31T00:00:00"/>
        <d v="2020-05-31T00:00:00"/>
        <d v="2020-08-31T00:00:00"/>
      </sharedItems>
      <fieldGroup base="1">
        <rangePr groupBy="months" startDate="2018-01-02T00:00:00" endDate="2020-12-31T00:00:00"/>
        <groupItems count="14">
          <s v="&lt;1/2/2018"/>
          <s v="Jan"/>
          <s v="Feb"/>
          <s v="Mar"/>
          <s v="Apr"/>
          <s v="May"/>
          <s v="Jun"/>
          <s v="Jul"/>
          <s v="Aug"/>
          <s v="Sep"/>
          <s v="Oct"/>
          <s v="Nov"/>
          <s v="Dec"/>
          <s v="&gt;12/31/2020"/>
        </groupItems>
      </fieldGroup>
    </cacheField>
    <cacheField name="Customer Name" numFmtId="0">
      <sharedItems/>
    </cacheField>
    <cacheField name="Country" numFmtId="0">
      <sharedItems count="10">
        <s v="Sweden"/>
        <s v="Spain"/>
        <s v="Belgium"/>
        <s v="Austria"/>
        <s v="Netherlands"/>
        <s v="Poland"/>
        <s v="Denmark"/>
        <s v="France"/>
        <s v="India"/>
        <s v="Germany"/>
      </sharedItems>
      <fieldGroup par="9"/>
    </cacheField>
    <cacheField name="State" numFmtId="0">
      <sharedItems count="23">
        <s v="Stockholm"/>
        <s v="Valenciana"/>
        <s v="Flemish Brabant"/>
        <s v="Vienna"/>
        <s v="South Holland"/>
        <s v="Lesser Poland"/>
        <s v="South Denmark"/>
        <s v="Ile-de-France"/>
        <s v="Madrid"/>
        <s v="Karnataka"/>
        <s v="Maharashtra"/>
        <s v="Hovedstaden"/>
        <s v="Delhi"/>
        <s v="Lower Saxony"/>
        <s v="North Rhine-Westphalia"/>
        <s v="Bavaria"/>
        <s v="Brussels"/>
        <s v="Skane"/>
        <s v="Catalonia"/>
        <s v="North Holland"/>
        <s v="Bihar"/>
        <s v="Masovian"/>
        <s v="Provence"/>
      </sharedItems>
    </cacheField>
    <cacheField name="City" numFmtId="0">
      <sharedItems count="48">
        <s v="Solna"/>
        <s v="Gandia"/>
        <s v="Mechelen"/>
        <s v="Vienna"/>
        <s v="The Hague"/>
        <s v="Krakow"/>
        <s v="Odense"/>
        <s v="Villiers-sur-Marne"/>
        <s v="Madrid"/>
        <s v="Esbjerg"/>
        <s v="Valencia"/>
        <s v="Stockholm"/>
        <s v="Bangalore"/>
        <s v="Nagpur"/>
        <s v="Copenhagen"/>
        <s v="New Delhi"/>
        <s v="Hanover"/>
        <s v="Versailles"/>
        <s v="Bielefeld"/>
        <s v="Paris"/>
        <s v="Pune"/>
        <s v="Munich"/>
        <s v="Brussels"/>
        <s v="Malmo"/>
        <s v="Tarnow"/>
        <s v="Rotterdam"/>
        <s v="Leuven"/>
        <s v="Girona"/>
        <s v="Haarlem"/>
        <s v="Amsterdam"/>
        <s v="Frederiksberg"/>
        <s v="Cologne"/>
        <s v="Gaya"/>
        <s v="Mumbai"/>
        <s v="Radom"/>
        <s v="Helsingborg"/>
        <s v="Patna"/>
        <s v="Barcelona"/>
        <s v="Warsaw"/>
        <s v="Nuremberg"/>
        <s v="Alicante"/>
        <s v="Marseille"/>
        <s v="Bremen"/>
        <s v="Nice"/>
        <s v="Mysore"/>
        <s v="Augsburg"/>
        <s v="Langen"/>
        <s v="Dortmund"/>
      </sharedItems>
    </cacheField>
    <cacheField name="Region" numFmtId="0">
      <sharedItems count="3">
        <s v="North"/>
        <s v="South"/>
        <s v="Central"/>
      </sharedItems>
    </cacheField>
    <cacheField name="Sales" numFmtId="0">
      <sharedItems containsSemiMixedTypes="0" containsString="0" containsNumber="1" containsInteger="1" minValue="1508" maxValue="5999"/>
    </cacheField>
    <cacheField name="Profit" numFmtId="0">
      <sharedItems containsSemiMixedTypes="0" containsString="0" containsNumber="1" containsInteger="1" minValue="713" maxValue="4350"/>
    </cacheField>
    <cacheField name="Country2" numFmtId="0" databaseField="0">
      <fieldGroup base="3">
        <discretePr count="10">
          <x v="2"/>
          <x v="2"/>
          <x v="0"/>
          <x v="0"/>
          <x v="1"/>
          <x v="2"/>
          <x v="0"/>
          <x v="0"/>
          <x v="1"/>
          <x v="1"/>
        </discretePr>
        <groupItems count="3">
          <s v="Group1"/>
          <s v="Group2"/>
          <s v="Group3"/>
        </groupItems>
      </fieldGroup>
    </cacheField>
    <cacheField name="Field1" numFmtId="0" formula="Sales*1%" databaseField="0"/>
    <cacheField name="Incentives" numFmtId="0" formula="Sales* 1%" databaseField="0"/>
    <cacheField name="Field2" numFmtId="0" formula="Sales* 1%" databaseField="0"/>
    <cacheField name="Field3" numFmtId="0" formula="IF(Sales&gt;50000,Sales*1%)" databaseField="0"/>
  </cacheFields>
  <extLst>
    <ext xmlns:x14="http://schemas.microsoft.com/office/spreadsheetml/2009/9/main" uri="{725AE2AE-9491-48be-B2B4-4EB974FC3084}">
      <x14:pivotCacheDefinition pivotCacheId="14485222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fatul" refreshedDate="46201.989081597225" createdVersion="7" refreshedVersion="7" minRefreshableVersion="3" recordCount="500" xr:uid="{19C339B6-F7FB-474D-BD2F-0EAAEA554DE6}">
  <cacheSource type="worksheet">
    <worksheetSource name="Table1"/>
  </cacheSource>
  <cacheFields count="9">
    <cacheField name="Order ID" numFmtId="0">
      <sharedItems/>
    </cacheField>
    <cacheField name="Order Date" numFmtId="14">
      <sharedItems containsSemiMixedTypes="0" containsNonDate="0" containsDate="1" containsString="0" minDate="2018-01-02T00:00:00" maxDate="2020-12-31T00:00:00"/>
    </cacheField>
    <cacheField name="Customer Name" numFmtId="0">
      <sharedItems/>
    </cacheField>
    <cacheField name="Country" numFmtId="0">
      <sharedItems count="10">
        <s v="Sweden"/>
        <s v="Spain"/>
        <s v="Belgium"/>
        <s v="Austria"/>
        <s v="Netherlands"/>
        <s v="Poland"/>
        <s v="Denmark"/>
        <s v="France"/>
        <s v="India"/>
        <s v="Germany"/>
      </sharedItems>
    </cacheField>
    <cacheField name="State" numFmtId="0">
      <sharedItems count="23">
        <s v="Stockholm"/>
        <s v="Valenciana"/>
        <s v="Flemish Brabant"/>
        <s v="Vienna"/>
        <s v="South Holland"/>
        <s v="Lesser Poland"/>
        <s v="South Denmark"/>
        <s v="Ile-de-France"/>
        <s v="Madrid"/>
        <s v="Karnataka"/>
        <s v="Maharashtra"/>
        <s v="Hovedstaden"/>
        <s v="Delhi"/>
        <s v="Lower Saxony"/>
        <s v="North Rhine-Westphalia"/>
        <s v="Bavaria"/>
        <s v="Brussels"/>
        <s v="Skane"/>
        <s v="Catalonia"/>
        <s v="North Holland"/>
        <s v="Bihar"/>
        <s v="Masovian"/>
        <s v="Provence"/>
      </sharedItems>
    </cacheField>
    <cacheField name="City" numFmtId="0">
      <sharedItems/>
    </cacheField>
    <cacheField name="Region" numFmtId="0">
      <sharedItems count="3">
        <s v="North"/>
        <s v="South"/>
        <s v="Central"/>
      </sharedItems>
    </cacheField>
    <cacheField name="Sales" numFmtId="0">
      <sharedItems containsSemiMixedTypes="0" containsString="0" containsNumber="1" containsInteger="1" minValue="1508" maxValue="5999"/>
    </cacheField>
    <cacheField name="Profit" numFmtId="0">
      <sharedItems containsSemiMixedTypes="0" containsString="0" containsNumber="1" containsInteger="1" minValue="713" maxValue="435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fatul" refreshedDate="46201.989338888889" createdVersion="7" refreshedVersion="7" minRefreshableVersion="3" recordCount="11" xr:uid="{B35CE382-29B3-4C42-ADB1-02FE652E50FC}">
  <cacheSource type="worksheet">
    <worksheetSource name="DynamicRange"/>
  </cacheSource>
  <cacheFields count="3">
    <cacheField name="Zone" numFmtId="0">
      <sharedItems/>
    </cacheField>
    <cacheField name="Customer Type" numFmtId="0">
      <sharedItems count="2">
        <s v="Cash"/>
        <s v="Online"/>
      </sharedItems>
    </cacheField>
    <cacheField name="Revenue" numFmtId="0">
      <sharedItems containsSemiMixedTypes="0" containsString="0" containsNumber="1" containsInteger="1" minValue="2750" maxValue="5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fatul" refreshedDate="46202.032272337965" createdVersion="7" refreshedVersion="7" minRefreshableVersion="3" recordCount="50" xr:uid="{76EF82FE-2574-4194-93F6-5E089793CB37}">
  <cacheSource type="worksheet">
    <worksheetSource ref="A1:H51" sheet="GetPivotData"/>
  </cacheSource>
  <cacheFields count="8">
    <cacheField name="ORDER ID" numFmtId="0">
      <sharedItems containsSemiMixedTypes="0" containsString="0" containsNumber="1" containsInteger="1" minValue="1001" maxValue="1050"/>
    </cacheField>
    <cacheField name="BRAND" numFmtId="0">
      <sharedItems count="6">
        <s v="NIKE"/>
        <s v="PUMA"/>
        <s v="ADIDAS"/>
        <s v="REEBOK"/>
        <s v="ASICS"/>
        <s v="SKECHERS"/>
      </sharedItems>
    </cacheField>
    <cacheField name="MONTH" numFmtId="0">
      <sharedItems count="12">
        <s v="Jan"/>
        <s v="Feb"/>
        <s v="Mar"/>
        <s v="Apr"/>
        <s v="May"/>
        <s v="Jun"/>
        <s v="Jul"/>
        <s v="Aug"/>
        <s v="Sep"/>
        <s v="Oct"/>
        <s v="Nov"/>
        <s v="Dec"/>
      </sharedItems>
    </cacheField>
    <cacheField name="Region" numFmtId="0">
      <sharedItems/>
    </cacheField>
    <cacheField name="STATE" numFmtId="0">
      <sharedItems/>
    </cacheField>
    <cacheField name="CITY" numFmtId="0">
      <sharedItems/>
    </cacheField>
    <cacheField name="QTY" numFmtId="0">
      <sharedItems containsSemiMixedTypes="0" containsString="0" containsNumber="1" containsInteger="1" minValue="50" maxValue="448"/>
    </cacheField>
    <cacheField name="AMT" numFmtId="0">
      <sharedItems containsSemiMixedTypes="0" containsString="0" containsNumber="1" containsInteger="1" minValue="32500" maxValue="369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KL-2018-5607253"/>
    <x v="0"/>
    <s v="Bruno Livingston"/>
    <x v="0"/>
    <x v="0"/>
    <x v="0"/>
    <x v="0"/>
    <n v="4760"/>
    <n v="2590"/>
  </r>
  <r>
    <s v="KL-2018-5607492"/>
    <x v="1"/>
    <s v="Stella Porter"/>
    <x v="1"/>
    <x v="1"/>
    <x v="1"/>
    <x v="1"/>
    <n v="1770"/>
    <n v="1038"/>
  </r>
  <r>
    <s v="KL-2018-5607062"/>
    <x v="2"/>
    <s v="Abbot Kane"/>
    <x v="2"/>
    <x v="2"/>
    <x v="2"/>
    <x v="2"/>
    <n v="3672"/>
    <n v="2673"/>
  </r>
  <r>
    <s v="KL-2018-5607055"/>
    <x v="3"/>
    <s v="Kiona Livingston"/>
    <x v="3"/>
    <x v="3"/>
    <x v="3"/>
    <x v="2"/>
    <n v="5711"/>
    <n v="2977"/>
  </r>
  <r>
    <s v="KL-2018-5607366"/>
    <x v="4"/>
    <s v="Bruno Lindqvist"/>
    <x v="4"/>
    <x v="4"/>
    <x v="4"/>
    <x v="2"/>
    <n v="5953"/>
    <n v="2744"/>
  </r>
  <r>
    <s v="KL-2018-5607354"/>
    <x v="5"/>
    <s v="Bruno Nakamura"/>
    <x v="5"/>
    <x v="5"/>
    <x v="5"/>
    <x v="0"/>
    <n v="1715"/>
    <n v="817"/>
  </r>
  <r>
    <s v="KL-2018-5607311"/>
    <x v="6"/>
    <s v="Abbot Kim"/>
    <x v="6"/>
    <x v="6"/>
    <x v="6"/>
    <x v="0"/>
    <n v="1972"/>
    <n v="1217"/>
  </r>
  <r>
    <s v="KL-2018-5607241"/>
    <x v="7"/>
    <s v="Rashid Gomez"/>
    <x v="7"/>
    <x v="7"/>
    <x v="7"/>
    <x v="2"/>
    <n v="4386"/>
    <n v="2692"/>
  </r>
  <r>
    <s v="KL-2018-5607456"/>
    <x v="8"/>
    <s v="Sopoline Hodges"/>
    <x v="3"/>
    <x v="3"/>
    <x v="3"/>
    <x v="2"/>
    <n v="1663"/>
    <n v="1010"/>
  </r>
  <r>
    <s v="KL-2018-5607338"/>
    <x v="9"/>
    <s v="Mei Schneider"/>
    <x v="3"/>
    <x v="3"/>
    <x v="3"/>
    <x v="2"/>
    <n v="1628"/>
    <n v="735"/>
  </r>
  <r>
    <s v="KL-2018-5607310"/>
    <x v="10"/>
    <s v="Bruno Neal"/>
    <x v="1"/>
    <x v="8"/>
    <x v="8"/>
    <x v="1"/>
    <n v="2244"/>
    <n v="1614"/>
  </r>
  <r>
    <s v="KL-2018-5607400"/>
    <x v="11"/>
    <s v="Clara Porter"/>
    <x v="6"/>
    <x v="6"/>
    <x v="9"/>
    <x v="0"/>
    <n v="3744"/>
    <n v="1789"/>
  </r>
  <r>
    <s v="KL-2018-5607457"/>
    <x v="11"/>
    <s v="Carlos Ahmed"/>
    <x v="1"/>
    <x v="1"/>
    <x v="10"/>
    <x v="1"/>
    <n v="2953"/>
    <n v="2142"/>
  </r>
  <r>
    <s v="KL-2018-5607527"/>
    <x v="12"/>
    <s v="Alicia Osei"/>
    <x v="7"/>
    <x v="7"/>
    <x v="7"/>
    <x v="2"/>
    <n v="1604"/>
    <n v="1044"/>
  </r>
  <r>
    <s v="KL-2018-5607219"/>
    <x v="13"/>
    <s v="Priya Barnes"/>
    <x v="0"/>
    <x v="0"/>
    <x v="0"/>
    <x v="0"/>
    <n v="2167"/>
    <n v="1353"/>
  </r>
  <r>
    <s v="KL-2018-5607297"/>
    <x v="14"/>
    <s v="Rashid Hodges"/>
    <x v="0"/>
    <x v="0"/>
    <x v="11"/>
    <x v="0"/>
    <n v="2934"/>
    <n v="1688"/>
  </r>
  <r>
    <s v="KL-2018-5607226"/>
    <x v="15"/>
    <s v="Bruno Ahmed"/>
    <x v="8"/>
    <x v="9"/>
    <x v="12"/>
    <x v="1"/>
    <n v="5874"/>
    <n v="3064"/>
  </r>
  <r>
    <s v="KL-2018-5607324"/>
    <x v="16"/>
    <s v="Omar Hickman"/>
    <x v="8"/>
    <x v="9"/>
    <x v="12"/>
    <x v="1"/>
    <n v="5906"/>
    <n v="3496"/>
  </r>
  <r>
    <s v="KL-2018-5607426"/>
    <x v="16"/>
    <s v="Rosa Okafor"/>
    <x v="8"/>
    <x v="10"/>
    <x v="13"/>
    <x v="1"/>
    <n v="4554"/>
    <n v="2212"/>
  </r>
  <r>
    <s v="KL-2018-5607523"/>
    <x v="17"/>
    <s v="Samuel Santos"/>
    <x v="6"/>
    <x v="11"/>
    <x v="14"/>
    <x v="0"/>
    <n v="3966"/>
    <n v="2285"/>
  </r>
  <r>
    <s v="KL-2018-5607195"/>
    <x v="18"/>
    <s v="Lana Dejesus"/>
    <x v="8"/>
    <x v="12"/>
    <x v="15"/>
    <x v="1"/>
    <n v="4375"/>
    <n v="1976"/>
  </r>
  <r>
    <s v="KL-2018-5607392"/>
    <x v="18"/>
    <s v="Tariq Eriksson"/>
    <x v="9"/>
    <x v="13"/>
    <x v="16"/>
    <x v="2"/>
    <n v="1985"/>
    <n v="1484"/>
  </r>
  <r>
    <s v="KL-2018-5607463"/>
    <x v="19"/>
    <s v="Isla Hickman"/>
    <x v="7"/>
    <x v="7"/>
    <x v="7"/>
    <x v="2"/>
    <n v="4341"/>
    <n v="3232"/>
  </r>
  <r>
    <s v="KL-2018-5607428"/>
    <x v="20"/>
    <s v="Rashid Muller"/>
    <x v="7"/>
    <x v="7"/>
    <x v="17"/>
    <x v="2"/>
    <n v="5241"/>
    <n v="2370"/>
  </r>
  <r>
    <s v="KL-2018-5607119"/>
    <x v="21"/>
    <s v="Bruno Adkins"/>
    <x v="9"/>
    <x v="14"/>
    <x v="18"/>
    <x v="2"/>
    <n v="4812"/>
    <n v="3164"/>
  </r>
  <r>
    <s v="KL-2018-5607076"/>
    <x v="22"/>
    <s v="Viktor Noel"/>
    <x v="7"/>
    <x v="7"/>
    <x v="19"/>
    <x v="2"/>
    <n v="2544"/>
    <n v="1176"/>
  </r>
  <r>
    <s v="KL-2018-5607420"/>
    <x v="23"/>
    <s v="Isla Petrov"/>
    <x v="5"/>
    <x v="5"/>
    <x v="5"/>
    <x v="0"/>
    <n v="4546"/>
    <n v="2218"/>
  </r>
  <r>
    <s v="KL-2018-5607277"/>
    <x v="24"/>
    <s v="Leon Nakamura"/>
    <x v="8"/>
    <x v="10"/>
    <x v="20"/>
    <x v="1"/>
    <n v="5630"/>
    <n v="3294"/>
  </r>
  <r>
    <s v="KL-2018-5607240"/>
    <x v="25"/>
    <s v="Leon Barnes"/>
    <x v="3"/>
    <x v="3"/>
    <x v="3"/>
    <x v="2"/>
    <n v="4324"/>
    <n v="2258"/>
  </r>
  <r>
    <s v="KL-2018-5607313"/>
    <x v="26"/>
    <s v="Clara Petrov"/>
    <x v="9"/>
    <x v="15"/>
    <x v="21"/>
    <x v="2"/>
    <n v="2065"/>
    <n v="1540"/>
  </r>
  <r>
    <s v="KL-2018-5607268"/>
    <x v="27"/>
    <s v="Georgia Weber"/>
    <x v="2"/>
    <x v="16"/>
    <x v="22"/>
    <x v="2"/>
    <n v="3171"/>
    <n v="1750"/>
  </r>
  <r>
    <s v="KL-2018-5607182"/>
    <x v="28"/>
    <s v="Andre Okafor"/>
    <x v="3"/>
    <x v="3"/>
    <x v="3"/>
    <x v="2"/>
    <n v="1929"/>
    <n v="941"/>
  </r>
  <r>
    <s v="KL-2018-5607131"/>
    <x v="29"/>
    <s v="Georgia Bowers"/>
    <x v="2"/>
    <x v="16"/>
    <x v="22"/>
    <x v="2"/>
    <n v="3885"/>
    <n v="1786"/>
  </r>
  <r>
    <s v="KL-2018-5607444"/>
    <x v="29"/>
    <s v="Lana Livingston"/>
    <x v="1"/>
    <x v="8"/>
    <x v="8"/>
    <x v="1"/>
    <n v="2555"/>
    <n v="1220"/>
  </r>
  <r>
    <s v="KL-2018-5607136"/>
    <x v="30"/>
    <s v="Ivan Okafor"/>
    <x v="0"/>
    <x v="17"/>
    <x v="23"/>
    <x v="0"/>
    <n v="2248"/>
    <n v="1165"/>
  </r>
  <r>
    <s v="KL-2018-5607331"/>
    <x v="31"/>
    <s v="Yuki Kim"/>
    <x v="5"/>
    <x v="5"/>
    <x v="24"/>
    <x v="0"/>
    <n v="3642"/>
    <n v="2031"/>
  </r>
  <r>
    <s v="KL-2018-5607364"/>
    <x v="32"/>
    <s v="Evan Foster"/>
    <x v="4"/>
    <x v="4"/>
    <x v="25"/>
    <x v="2"/>
    <n v="4851"/>
    <n v="3162"/>
  </r>
  <r>
    <s v="KL-2018-5607203"/>
    <x v="33"/>
    <s v="Lani Larsson"/>
    <x v="2"/>
    <x v="2"/>
    <x v="26"/>
    <x v="2"/>
    <n v="4614"/>
    <n v="2813"/>
  </r>
  <r>
    <s v="KL-2018-5607518"/>
    <x v="34"/>
    <s v="Priya Kim"/>
    <x v="5"/>
    <x v="5"/>
    <x v="24"/>
    <x v="0"/>
    <n v="2596"/>
    <n v="1435"/>
  </r>
  <r>
    <s v="KL-2018-5607235"/>
    <x v="35"/>
    <s v="Sasha Ramos"/>
    <x v="0"/>
    <x v="17"/>
    <x v="23"/>
    <x v="0"/>
    <n v="3860"/>
    <n v="2012"/>
  </r>
  <r>
    <s v="KL-2018-5607440"/>
    <x v="36"/>
    <s v="Zephr Hodges"/>
    <x v="1"/>
    <x v="18"/>
    <x v="27"/>
    <x v="1"/>
    <n v="5706"/>
    <n v="2651"/>
  </r>
  <r>
    <s v="KL-2018-5607511"/>
    <x v="37"/>
    <s v="Omar Fischer"/>
    <x v="4"/>
    <x v="19"/>
    <x v="28"/>
    <x v="2"/>
    <n v="2977"/>
    <n v="2035"/>
  </r>
  <r>
    <s v="KL-2018-5607322"/>
    <x v="38"/>
    <s v="Kiona Andersen"/>
    <x v="8"/>
    <x v="12"/>
    <x v="15"/>
    <x v="1"/>
    <n v="2934"/>
    <n v="1871"/>
  </r>
  <r>
    <s v="KL-2018-5607053"/>
    <x v="39"/>
    <s v="Bruno Wagner"/>
    <x v="4"/>
    <x v="19"/>
    <x v="29"/>
    <x v="2"/>
    <n v="3340"/>
    <n v="1567"/>
  </r>
  <r>
    <s v="KL-2018-5607218"/>
    <x v="40"/>
    <s v="Omar Rivera"/>
    <x v="0"/>
    <x v="0"/>
    <x v="0"/>
    <x v="0"/>
    <n v="2039"/>
    <n v="1119"/>
  </r>
  <r>
    <s v="KL-2018-5607333"/>
    <x v="41"/>
    <s v="Diana Moore"/>
    <x v="6"/>
    <x v="11"/>
    <x v="30"/>
    <x v="0"/>
    <n v="4920"/>
    <n v="2649"/>
  </r>
  <r>
    <s v="KL-2018-5607418"/>
    <x v="42"/>
    <s v="Abbot Sullivan"/>
    <x v="9"/>
    <x v="14"/>
    <x v="18"/>
    <x v="2"/>
    <n v="5214"/>
    <n v="3304"/>
  </r>
  <r>
    <s v="KL-2018-5607214"/>
    <x v="43"/>
    <s v="Tobias Lindqvist"/>
    <x v="5"/>
    <x v="5"/>
    <x v="24"/>
    <x v="0"/>
    <n v="1836"/>
    <n v="1073"/>
  </r>
  <r>
    <s v="KL-2018-5607115"/>
    <x v="44"/>
    <s v="Amara Sullivan"/>
    <x v="9"/>
    <x v="14"/>
    <x v="31"/>
    <x v="2"/>
    <n v="3497"/>
    <n v="2360"/>
  </r>
  <r>
    <s v="KL-2018-5607398"/>
    <x v="45"/>
    <s v="Carlos Nakamura"/>
    <x v="0"/>
    <x v="0"/>
    <x v="0"/>
    <x v="0"/>
    <n v="4315"/>
    <n v="3099"/>
  </r>
  <r>
    <s v="KL-2018-5607290"/>
    <x v="46"/>
    <s v="Kiona Muller"/>
    <x v="8"/>
    <x v="20"/>
    <x v="32"/>
    <x v="1"/>
    <n v="4097"/>
    <n v="2433"/>
  </r>
  <r>
    <s v="KL-2018-5607380"/>
    <x v="47"/>
    <s v="Wendy Sullivan"/>
    <x v="8"/>
    <x v="10"/>
    <x v="33"/>
    <x v="1"/>
    <n v="4558"/>
    <n v="2999"/>
  </r>
  <r>
    <s v="KL-2018-5607221"/>
    <x v="48"/>
    <s v="Raymond Johansson"/>
    <x v="5"/>
    <x v="21"/>
    <x v="34"/>
    <x v="0"/>
    <n v="5665"/>
    <n v="3164"/>
  </r>
  <r>
    <s v="KL-2018-5607372"/>
    <x v="49"/>
    <s v="Mei Foster"/>
    <x v="5"/>
    <x v="5"/>
    <x v="24"/>
    <x v="0"/>
    <n v="5400"/>
    <n v="2588"/>
  </r>
  <r>
    <s v="KL-2018-5607374"/>
    <x v="49"/>
    <s v="Patrick Barrett"/>
    <x v="6"/>
    <x v="11"/>
    <x v="14"/>
    <x v="0"/>
    <n v="2811"/>
    <n v="1544"/>
  </r>
  <r>
    <s v="KL-2018-5607114"/>
    <x v="50"/>
    <s v="Patrick Chen"/>
    <x v="0"/>
    <x v="17"/>
    <x v="35"/>
    <x v="0"/>
    <n v="5068"/>
    <n v="3536"/>
  </r>
  <r>
    <s v="KL-2018-5607248"/>
    <x v="51"/>
    <s v="Viktor Patel"/>
    <x v="7"/>
    <x v="7"/>
    <x v="7"/>
    <x v="2"/>
    <n v="4186"/>
    <n v="2713"/>
  </r>
  <r>
    <s v="KL-2018-5607177"/>
    <x v="52"/>
    <s v="Abbot Hassan"/>
    <x v="8"/>
    <x v="20"/>
    <x v="36"/>
    <x v="1"/>
    <n v="5225"/>
    <n v="2494"/>
  </r>
  <r>
    <s v="KL-2018-5607185"/>
    <x v="53"/>
    <s v="Abbot Osei"/>
    <x v="2"/>
    <x v="16"/>
    <x v="22"/>
    <x v="2"/>
    <n v="5516"/>
    <n v="3661"/>
  </r>
  <r>
    <s v="KL-2018-5607513"/>
    <x v="54"/>
    <s v="Julia Kane"/>
    <x v="0"/>
    <x v="0"/>
    <x v="0"/>
    <x v="0"/>
    <n v="2221"/>
    <n v="1085"/>
  </r>
  <r>
    <s v="KL-2018-5607157"/>
    <x v="55"/>
    <s v="Amara Horton"/>
    <x v="8"/>
    <x v="12"/>
    <x v="15"/>
    <x v="1"/>
    <n v="5028"/>
    <n v="2482"/>
  </r>
  <r>
    <s v="KL-2018-5607486"/>
    <x v="56"/>
    <s v="Zephr Ahmed"/>
    <x v="0"/>
    <x v="17"/>
    <x v="23"/>
    <x v="0"/>
    <n v="4742"/>
    <n v="3399"/>
  </r>
  <r>
    <s v="KL-2018-5607150"/>
    <x v="57"/>
    <s v="Diana Tanaka"/>
    <x v="1"/>
    <x v="18"/>
    <x v="37"/>
    <x v="1"/>
    <n v="4106"/>
    <n v="2765"/>
  </r>
  <r>
    <s v="KL-2018-5607160"/>
    <x v="58"/>
    <s v="Mei Barnes"/>
    <x v="3"/>
    <x v="3"/>
    <x v="3"/>
    <x v="2"/>
    <n v="5977"/>
    <n v="2972"/>
  </r>
  <r>
    <s v="KL-2018-5607496"/>
    <x v="59"/>
    <s v="Priya Adkins"/>
    <x v="2"/>
    <x v="2"/>
    <x v="26"/>
    <x v="2"/>
    <n v="3255"/>
    <n v="2301"/>
  </r>
  <r>
    <s v="KL-2018-5607357"/>
    <x v="60"/>
    <s v="Felix Chen"/>
    <x v="4"/>
    <x v="19"/>
    <x v="29"/>
    <x v="2"/>
    <n v="2869"/>
    <n v="1665"/>
  </r>
  <r>
    <s v="KL-2018-5607421"/>
    <x v="60"/>
    <s v="Rosa Neal"/>
    <x v="3"/>
    <x v="3"/>
    <x v="3"/>
    <x v="2"/>
    <n v="3728"/>
    <n v="2263"/>
  </r>
  <r>
    <s v="KL-2018-5607207"/>
    <x v="61"/>
    <s v="Guinevere Costa"/>
    <x v="0"/>
    <x v="17"/>
    <x v="23"/>
    <x v="0"/>
    <n v="4742"/>
    <n v="3372"/>
  </r>
  <r>
    <s v="KL-2018-5607282"/>
    <x v="62"/>
    <s v="Andre Rivera"/>
    <x v="5"/>
    <x v="5"/>
    <x v="24"/>
    <x v="0"/>
    <n v="5390"/>
    <n v="3744"/>
  </r>
  <r>
    <s v="KL-2018-5607347"/>
    <x v="62"/>
    <s v="Georgia Fischer"/>
    <x v="1"/>
    <x v="8"/>
    <x v="8"/>
    <x v="1"/>
    <n v="5928"/>
    <n v="3257"/>
  </r>
  <r>
    <s v="KL-2018-5607441"/>
    <x v="62"/>
    <s v="Ingrid Dejesus"/>
    <x v="3"/>
    <x v="3"/>
    <x v="3"/>
    <x v="2"/>
    <n v="3546"/>
    <n v="1696"/>
  </r>
  <r>
    <s v="KL-2018-5607256"/>
    <x v="63"/>
    <s v="Hedda Weber"/>
    <x v="6"/>
    <x v="6"/>
    <x v="9"/>
    <x v="0"/>
    <n v="4118"/>
    <n v="2678"/>
  </r>
  <r>
    <s v="KL-2018-5607084"/>
    <x v="64"/>
    <s v="Clara Lindqvist"/>
    <x v="5"/>
    <x v="21"/>
    <x v="34"/>
    <x v="0"/>
    <n v="3057"/>
    <n v="1609"/>
  </r>
  <r>
    <s v="KL-2018-5607148"/>
    <x v="65"/>
    <s v="Marcus Bowers"/>
    <x v="8"/>
    <x v="12"/>
    <x v="15"/>
    <x v="1"/>
    <n v="2717"/>
    <n v="1586"/>
  </r>
  <r>
    <s v="KL-2018-5607216"/>
    <x v="66"/>
    <s v="Evan Hodges"/>
    <x v="5"/>
    <x v="21"/>
    <x v="38"/>
    <x v="0"/>
    <n v="3529"/>
    <n v="2337"/>
  </r>
  <r>
    <s v="KL-2018-5607404"/>
    <x v="66"/>
    <s v="Wendy Costa"/>
    <x v="6"/>
    <x v="6"/>
    <x v="9"/>
    <x v="0"/>
    <n v="3375"/>
    <n v="1906"/>
  </r>
  <r>
    <s v="KL-2018-5607396"/>
    <x v="67"/>
    <s v="Rashid Ramos"/>
    <x v="9"/>
    <x v="15"/>
    <x v="39"/>
    <x v="2"/>
    <n v="4434"/>
    <n v="3126"/>
  </r>
  <r>
    <s v="KL-2018-5607225"/>
    <x v="68"/>
    <s v="Alicia Ahmed"/>
    <x v="6"/>
    <x v="6"/>
    <x v="9"/>
    <x v="0"/>
    <n v="4865"/>
    <n v="2720"/>
  </r>
  <r>
    <s v="KL-2018-5607450"/>
    <x v="69"/>
    <s v="Samuel Dubois"/>
    <x v="4"/>
    <x v="4"/>
    <x v="4"/>
    <x v="2"/>
    <n v="4681"/>
    <n v="2486"/>
  </r>
  <r>
    <s v="KL-2018-5607334"/>
    <x v="70"/>
    <s v="Carlos Moore"/>
    <x v="2"/>
    <x v="2"/>
    <x v="2"/>
    <x v="2"/>
    <n v="4265"/>
    <n v="2248"/>
  </r>
  <r>
    <s v="KL-2018-5607501"/>
    <x v="71"/>
    <s v="Sasha Ferreira"/>
    <x v="0"/>
    <x v="17"/>
    <x v="35"/>
    <x v="0"/>
    <n v="2385"/>
    <n v="1417"/>
  </r>
  <r>
    <s v="KL-2018-5607294"/>
    <x v="72"/>
    <s v="Guinevere Horton"/>
    <x v="5"/>
    <x v="21"/>
    <x v="38"/>
    <x v="0"/>
    <n v="1930"/>
    <n v="926"/>
  </r>
  <r>
    <s v="KL-2018-5607288"/>
    <x v="73"/>
    <s v="Elsa Tanaka"/>
    <x v="7"/>
    <x v="7"/>
    <x v="19"/>
    <x v="2"/>
    <n v="5867"/>
    <n v="3242"/>
  </r>
  <r>
    <s v="KL-2018-5607307"/>
    <x v="73"/>
    <s v="Zephr Kim"/>
    <x v="0"/>
    <x v="17"/>
    <x v="35"/>
    <x v="0"/>
    <n v="5999"/>
    <n v="4342"/>
  </r>
  <r>
    <s v="KL-2018-5607361"/>
    <x v="74"/>
    <s v="Felix Okafor"/>
    <x v="0"/>
    <x v="0"/>
    <x v="0"/>
    <x v="0"/>
    <n v="4073"/>
    <n v="2049"/>
  </r>
  <r>
    <s v="KL-2018-5607438"/>
    <x v="75"/>
    <s v="Omar Neal"/>
    <x v="5"/>
    <x v="5"/>
    <x v="5"/>
    <x v="0"/>
    <n v="5202"/>
    <n v="2822"/>
  </r>
  <r>
    <s v="KL-2018-5607147"/>
    <x v="76"/>
    <s v="Ivan Mckenzie"/>
    <x v="9"/>
    <x v="14"/>
    <x v="31"/>
    <x v="2"/>
    <n v="4284"/>
    <n v="3128"/>
  </r>
  <r>
    <s v="KL-2018-5607478"/>
    <x v="77"/>
    <s v="Viktor Andersen"/>
    <x v="0"/>
    <x v="0"/>
    <x v="11"/>
    <x v="0"/>
    <n v="4671"/>
    <n v="3248"/>
  </r>
  <r>
    <s v="KL-2018-5607485"/>
    <x v="77"/>
    <s v="Omar Barnes"/>
    <x v="2"/>
    <x v="16"/>
    <x v="22"/>
    <x v="2"/>
    <n v="1806"/>
    <n v="905"/>
  </r>
  <r>
    <s v="KL-2018-5607067"/>
    <x v="78"/>
    <s v="Amara Barnes"/>
    <x v="1"/>
    <x v="8"/>
    <x v="8"/>
    <x v="1"/>
    <n v="3455"/>
    <n v="1830"/>
  </r>
  <r>
    <s v="KL-2018-5607367"/>
    <x v="79"/>
    <s v="Alicia Dubois"/>
    <x v="0"/>
    <x v="0"/>
    <x v="11"/>
    <x v="0"/>
    <n v="3533"/>
    <n v="2286"/>
  </r>
  <r>
    <s v="KL-2018-5607325"/>
    <x v="80"/>
    <s v="Felix Bergmann"/>
    <x v="6"/>
    <x v="6"/>
    <x v="9"/>
    <x v="0"/>
    <n v="4880"/>
    <n v="3612"/>
  </r>
  <r>
    <s v="KL-2018-5607497"/>
    <x v="80"/>
    <s v="Hugo Foster"/>
    <x v="8"/>
    <x v="9"/>
    <x v="12"/>
    <x v="1"/>
    <n v="1572"/>
    <n v="930"/>
  </r>
  <r>
    <s v="KL-2018-5607479"/>
    <x v="81"/>
    <s v="Viktor Eriksson"/>
    <x v="4"/>
    <x v="19"/>
    <x v="28"/>
    <x v="2"/>
    <n v="3948"/>
    <n v="1870"/>
  </r>
  <r>
    <s v="KL-2018-5607190"/>
    <x v="82"/>
    <s v="Leon Hickman"/>
    <x v="4"/>
    <x v="19"/>
    <x v="29"/>
    <x v="2"/>
    <n v="2199"/>
    <n v="1051"/>
  </r>
  <r>
    <s v="KL-2018-5607156"/>
    <x v="83"/>
    <s v="Aristotle Nguyen"/>
    <x v="9"/>
    <x v="14"/>
    <x v="18"/>
    <x v="2"/>
    <n v="3953"/>
    <n v="2850"/>
  </r>
  <r>
    <s v="KL-2018-5607344"/>
    <x v="83"/>
    <s v="Patrick Rivera"/>
    <x v="0"/>
    <x v="0"/>
    <x v="11"/>
    <x v="0"/>
    <n v="3382"/>
    <n v="1736"/>
  </r>
  <r>
    <s v="KL-2018-5607514"/>
    <x v="83"/>
    <s v="Leila Costa"/>
    <x v="2"/>
    <x v="16"/>
    <x v="22"/>
    <x v="2"/>
    <n v="4640"/>
    <n v="2094"/>
  </r>
  <r>
    <s v="KL-2018-5607094"/>
    <x v="84"/>
    <s v="Rashid Costa"/>
    <x v="1"/>
    <x v="1"/>
    <x v="40"/>
    <x v="1"/>
    <n v="5743"/>
    <n v="3384"/>
  </r>
  <r>
    <s v="KL-2018-5607236"/>
    <x v="85"/>
    <s v="Abbot Sullivan"/>
    <x v="2"/>
    <x v="16"/>
    <x v="22"/>
    <x v="2"/>
    <n v="2408"/>
    <n v="1688"/>
  </r>
  <r>
    <s v="KL-2018-5607260"/>
    <x v="86"/>
    <s v="Elsa Andersen"/>
    <x v="2"/>
    <x v="2"/>
    <x v="26"/>
    <x v="2"/>
    <n v="4097"/>
    <n v="2633"/>
  </r>
  <r>
    <s v="KL-2018-5607330"/>
    <x v="86"/>
    <s v="Guinevere Santos"/>
    <x v="0"/>
    <x v="0"/>
    <x v="0"/>
    <x v="0"/>
    <n v="3460"/>
    <n v="2130"/>
  </r>
  <r>
    <s v="KL-2018-5607042"/>
    <x v="87"/>
    <s v="Ria Ferreira"/>
    <x v="4"/>
    <x v="4"/>
    <x v="4"/>
    <x v="2"/>
    <n v="2670"/>
    <n v="1413"/>
  </r>
  <r>
    <s v="KL-2018-5607430"/>
    <x v="88"/>
    <s v="Rashid Porter"/>
    <x v="5"/>
    <x v="21"/>
    <x v="38"/>
    <x v="0"/>
    <n v="1552"/>
    <n v="1132"/>
  </r>
  <r>
    <s v="KL-2018-5607258"/>
    <x v="89"/>
    <s v="Kiona Neal"/>
    <x v="1"/>
    <x v="1"/>
    <x v="1"/>
    <x v="1"/>
    <n v="5547"/>
    <n v="2539"/>
  </r>
  <r>
    <s v="KL-2018-5607526"/>
    <x v="90"/>
    <s v="Dahlia Petrov"/>
    <x v="2"/>
    <x v="16"/>
    <x v="22"/>
    <x v="2"/>
    <n v="1822"/>
    <n v="1119"/>
  </r>
  <r>
    <s v="KL-2018-5607469"/>
    <x v="91"/>
    <s v="Georgia Ramos"/>
    <x v="9"/>
    <x v="15"/>
    <x v="21"/>
    <x v="2"/>
    <n v="4268"/>
    <n v="2681"/>
  </r>
  <r>
    <s v="KL-2018-5607169"/>
    <x v="92"/>
    <s v="Hugo Ramos"/>
    <x v="2"/>
    <x v="16"/>
    <x v="22"/>
    <x v="2"/>
    <n v="4732"/>
    <n v="2149"/>
  </r>
  <r>
    <s v="KL-2018-5607103"/>
    <x v="93"/>
    <s v="Rosa Kane"/>
    <x v="4"/>
    <x v="19"/>
    <x v="29"/>
    <x v="2"/>
    <n v="4727"/>
    <n v="2966"/>
  </r>
  <r>
    <s v="KL-2018-5607305"/>
    <x v="94"/>
    <s v="Nina Neal"/>
    <x v="4"/>
    <x v="4"/>
    <x v="25"/>
    <x v="2"/>
    <n v="4821"/>
    <n v="3161"/>
  </r>
  <r>
    <s v="KL-2018-5607449"/>
    <x v="95"/>
    <s v="Dahlia Ferreira"/>
    <x v="5"/>
    <x v="21"/>
    <x v="38"/>
    <x v="0"/>
    <n v="4633"/>
    <n v="3171"/>
  </r>
  <r>
    <s v="KL-2018-5607211"/>
    <x v="96"/>
    <s v="Hugo Fischer"/>
    <x v="0"/>
    <x v="17"/>
    <x v="35"/>
    <x v="0"/>
    <n v="2736"/>
    <n v="1592"/>
  </r>
  <r>
    <s v="KL-2018-5607072"/>
    <x v="97"/>
    <s v="Ivan Nakamura"/>
    <x v="6"/>
    <x v="6"/>
    <x v="6"/>
    <x v="0"/>
    <n v="3225"/>
    <n v="2145"/>
  </r>
  <r>
    <s v="KL-2018-5607299"/>
    <x v="97"/>
    <s v="Carlos Patel"/>
    <x v="4"/>
    <x v="4"/>
    <x v="25"/>
    <x v="2"/>
    <n v="5630"/>
    <n v="3323"/>
  </r>
  <r>
    <s v="KL-2018-5607172"/>
    <x v="98"/>
    <s v="Alicia Muller"/>
    <x v="2"/>
    <x v="2"/>
    <x v="26"/>
    <x v="2"/>
    <n v="1871"/>
    <n v="1373"/>
  </r>
  <r>
    <s v="KL-2018-5607293"/>
    <x v="99"/>
    <s v="Ria Porter"/>
    <x v="5"/>
    <x v="5"/>
    <x v="24"/>
    <x v="0"/>
    <n v="2624"/>
    <n v="1266"/>
  </r>
  <r>
    <s v="KL-2018-5607467"/>
    <x v="99"/>
    <s v="Diana Ferreira"/>
    <x v="1"/>
    <x v="1"/>
    <x v="10"/>
    <x v="1"/>
    <n v="2103"/>
    <n v="1450"/>
  </r>
  <r>
    <s v="KL-2018-5607165"/>
    <x v="100"/>
    <s v="Leila Barrett"/>
    <x v="3"/>
    <x v="3"/>
    <x v="3"/>
    <x v="2"/>
    <n v="1773"/>
    <n v="1106"/>
  </r>
  <r>
    <s v="KL-2018-5607086"/>
    <x v="101"/>
    <s v="Tobias Okafor"/>
    <x v="9"/>
    <x v="15"/>
    <x v="39"/>
    <x v="2"/>
    <n v="5654"/>
    <n v="3068"/>
  </r>
  <r>
    <s v="KL-2018-5607295"/>
    <x v="101"/>
    <s v="Evan Osei"/>
    <x v="9"/>
    <x v="15"/>
    <x v="21"/>
    <x v="2"/>
    <n v="1542"/>
    <n v="1140"/>
  </r>
  <r>
    <s v="KL-2018-5607516"/>
    <x v="102"/>
    <s v="Leila Ramos"/>
    <x v="1"/>
    <x v="1"/>
    <x v="40"/>
    <x v="1"/>
    <n v="4320"/>
    <n v="2348"/>
  </r>
  <r>
    <s v="KL-2018-5607401"/>
    <x v="103"/>
    <s v="Ingrid Hodges"/>
    <x v="7"/>
    <x v="7"/>
    <x v="7"/>
    <x v="2"/>
    <n v="4746"/>
    <n v="3026"/>
  </r>
  <r>
    <s v="KL-2018-5607493"/>
    <x v="103"/>
    <s v="Evan Porter"/>
    <x v="8"/>
    <x v="12"/>
    <x v="15"/>
    <x v="1"/>
    <n v="5637"/>
    <n v="3207"/>
  </r>
  <r>
    <s v="KL-2018-5607376"/>
    <x v="104"/>
    <s v="Bruno Gomez"/>
    <x v="2"/>
    <x v="16"/>
    <x v="22"/>
    <x v="2"/>
    <n v="3259"/>
    <n v="1667"/>
  </r>
  <r>
    <s v="KL-2018-5607346"/>
    <x v="105"/>
    <s v="Stella Okafor"/>
    <x v="3"/>
    <x v="3"/>
    <x v="3"/>
    <x v="2"/>
    <n v="4762"/>
    <n v="3469"/>
  </r>
  <r>
    <s v="KL-2018-5607206"/>
    <x v="106"/>
    <s v="Lana Okafor"/>
    <x v="6"/>
    <x v="6"/>
    <x v="6"/>
    <x v="0"/>
    <n v="2221"/>
    <n v="1290"/>
  </r>
  <r>
    <s v="KL-2018-5607377"/>
    <x v="107"/>
    <s v="Diana Barrett"/>
    <x v="5"/>
    <x v="21"/>
    <x v="34"/>
    <x v="0"/>
    <n v="4170"/>
    <n v="2123"/>
  </r>
  <r>
    <s v="KL-2018-5607274"/>
    <x v="108"/>
    <s v="Ria Gomez"/>
    <x v="7"/>
    <x v="7"/>
    <x v="7"/>
    <x v="2"/>
    <n v="3804"/>
    <n v="2276"/>
  </r>
  <r>
    <s v="KL-2018-5607453"/>
    <x v="108"/>
    <s v="Marcus Dubois"/>
    <x v="3"/>
    <x v="3"/>
    <x v="3"/>
    <x v="2"/>
    <n v="4406"/>
    <n v="3218"/>
  </r>
  <r>
    <s v="KL-2018-5607433"/>
    <x v="109"/>
    <s v="Isla Horton"/>
    <x v="6"/>
    <x v="6"/>
    <x v="9"/>
    <x v="0"/>
    <n v="1859"/>
    <n v="1350"/>
  </r>
  <r>
    <s v="KL-2018-5607466"/>
    <x v="109"/>
    <s v="Georgia Andersen"/>
    <x v="4"/>
    <x v="4"/>
    <x v="4"/>
    <x v="2"/>
    <n v="5973"/>
    <n v="3360"/>
  </r>
  <r>
    <s v="KL-2018-5607309"/>
    <x v="110"/>
    <s v="Diana Neal"/>
    <x v="3"/>
    <x v="3"/>
    <x v="3"/>
    <x v="2"/>
    <n v="2847"/>
    <n v="1561"/>
  </r>
  <r>
    <s v="KL-2018-5607403"/>
    <x v="110"/>
    <s v="Raymond Gomez"/>
    <x v="1"/>
    <x v="8"/>
    <x v="8"/>
    <x v="1"/>
    <n v="1576"/>
    <n v="713"/>
  </r>
  <r>
    <s v="KL-2018-5607098"/>
    <x v="111"/>
    <s v="Guinevere Chen"/>
    <x v="7"/>
    <x v="22"/>
    <x v="41"/>
    <x v="2"/>
    <n v="2633"/>
    <n v="1303"/>
  </r>
  <r>
    <s v="KL-2018-5607223"/>
    <x v="112"/>
    <s v="Zephr Livingston"/>
    <x v="8"/>
    <x v="10"/>
    <x v="13"/>
    <x v="1"/>
    <n v="5921"/>
    <n v="4147"/>
  </r>
  <r>
    <s v="KL-2018-5607108"/>
    <x v="113"/>
    <s v="Guinevere Mckenzie"/>
    <x v="4"/>
    <x v="19"/>
    <x v="29"/>
    <x v="2"/>
    <n v="5309"/>
    <n v="3503"/>
  </r>
  <r>
    <s v="KL-2018-5607416"/>
    <x v="113"/>
    <s v="Marcus Hodges"/>
    <x v="8"/>
    <x v="10"/>
    <x v="13"/>
    <x v="1"/>
    <n v="3164"/>
    <n v="2348"/>
  </r>
  <r>
    <s v="KL-2018-5607121"/>
    <x v="114"/>
    <s v="Nadia Santos"/>
    <x v="4"/>
    <x v="4"/>
    <x v="4"/>
    <x v="2"/>
    <n v="3559"/>
    <n v="1847"/>
  </r>
  <r>
    <s v="KL-2018-5607481"/>
    <x v="115"/>
    <s v="Ria Porter"/>
    <x v="6"/>
    <x v="11"/>
    <x v="30"/>
    <x v="0"/>
    <n v="2141"/>
    <n v="1598"/>
  </r>
  <r>
    <s v="KL-2018-5607124"/>
    <x v="116"/>
    <s v="Stella Muller"/>
    <x v="3"/>
    <x v="3"/>
    <x v="3"/>
    <x v="2"/>
    <n v="1872"/>
    <n v="1389"/>
  </r>
  <r>
    <s v="KL-2018-5607522"/>
    <x v="117"/>
    <s v="Abbot Santos"/>
    <x v="9"/>
    <x v="14"/>
    <x v="31"/>
    <x v="2"/>
    <n v="4615"/>
    <n v="2247"/>
  </r>
  <r>
    <s v="KL-2018-5607133"/>
    <x v="118"/>
    <s v="Clara Neal"/>
    <x v="5"/>
    <x v="21"/>
    <x v="38"/>
    <x v="0"/>
    <n v="3676"/>
    <n v="2565"/>
  </r>
  <r>
    <s v="KL-2018-5607432"/>
    <x v="119"/>
    <s v="Ivan Ramos"/>
    <x v="8"/>
    <x v="10"/>
    <x v="33"/>
    <x v="1"/>
    <n v="5840"/>
    <n v="4350"/>
  </r>
  <r>
    <s v="KL-2018-5607468"/>
    <x v="120"/>
    <s v="Priya Adkins"/>
    <x v="7"/>
    <x v="22"/>
    <x v="41"/>
    <x v="2"/>
    <n v="2107"/>
    <n v="1164"/>
  </r>
  <r>
    <s v="KL-2018-5607399"/>
    <x v="121"/>
    <s v="Sopoline Barrett"/>
    <x v="4"/>
    <x v="19"/>
    <x v="29"/>
    <x v="2"/>
    <n v="2794"/>
    <n v="1627"/>
  </r>
  <r>
    <s v="KL-2018-5607113"/>
    <x v="122"/>
    <s v="Isla Barrett"/>
    <x v="2"/>
    <x v="16"/>
    <x v="22"/>
    <x v="2"/>
    <n v="2753"/>
    <n v="1598"/>
  </r>
  <r>
    <s v="KL-2018-5607482"/>
    <x v="123"/>
    <s v="Dahlia Nguyen"/>
    <x v="6"/>
    <x v="6"/>
    <x v="6"/>
    <x v="0"/>
    <n v="2048"/>
    <n v="975"/>
  </r>
  <r>
    <s v="KL-2018-5607355"/>
    <x v="124"/>
    <s v="Hana Lindqvist"/>
    <x v="7"/>
    <x v="22"/>
    <x v="41"/>
    <x v="2"/>
    <n v="3890"/>
    <n v="2233"/>
  </r>
  <r>
    <s v="KL-2018-5607395"/>
    <x v="124"/>
    <s v="Fatima Russo"/>
    <x v="8"/>
    <x v="12"/>
    <x v="15"/>
    <x v="1"/>
    <n v="5498"/>
    <n v="3013"/>
  </r>
  <r>
    <s v="KL-2018-5607261"/>
    <x v="125"/>
    <s v="Mei Eriksson"/>
    <x v="5"/>
    <x v="5"/>
    <x v="5"/>
    <x v="0"/>
    <n v="2990"/>
    <n v="2034"/>
  </r>
  <r>
    <s v="KL-2018-5607327"/>
    <x v="125"/>
    <s v="Leon Hodges"/>
    <x v="5"/>
    <x v="21"/>
    <x v="38"/>
    <x v="0"/>
    <n v="3699"/>
    <n v="2083"/>
  </r>
  <r>
    <s v="KL-2018-5607049"/>
    <x v="126"/>
    <s v="Leon Kane"/>
    <x v="5"/>
    <x v="21"/>
    <x v="34"/>
    <x v="0"/>
    <n v="5502"/>
    <n v="2508"/>
  </r>
  <r>
    <s v="KL-2018-5607471"/>
    <x v="127"/>
    <s v="Ria Porter"/>
    <x v="2"/>
    <x v="16"/>
    <x v="22"/>
    <x v="2"/>
    <n v="3936"/>
    <n v="2051"/>
  </r>
  <r>
    <s v="KL-2018-5607487"/>
    <x v="127"/>
    <s v="Alicia Sullivan"/>
    <x v="3"/>
    <x v="3"/>
    <x v="3"/>
    <x v="2"/>
    <n v="4551"/>
    <n v="2075"/>
  </r>
  <r>
    <s v="KL-2018-5607464"/>
    <x v="128"/>
    <s v="Leila Hodges"/>
    <x v="7"/>
    <x v="22"/>
    <x v="41"/>
    <x v="2"/>
    <n v="3672"/>
    <n v="1883"/>
  </r>
  <r>
    <s v="KL-2018-5607353"/>
    <x v="129"/>
    <s v="Felix Weber"/>
    <x v="7"/>
    <x v="22"/>
    <x v="41"/>
    <x v="2"/>
    <n v="2585"/>
    <n v="1230"/>
  </r>
  <r>
    <s v="KL-2018-5607037"/>
    <x v="130"/>
    <s v="Diana Porter"/>
    <x v="9"/>
    <x v="13"/>
    <x v="42"/>
    <x v="2"/>
    <n v="3366"/>
    <n v="2295"/>
  </r>
  <r>
    <s v="KL-2018-5607178"/>
    <x v="131"/>
    <s v="Patrick Nguyen"/>
    <x v="0"/>
    <x v="0"/>
    <x v="11"/>
    <x v="0"/>
    <n v="4232"/>
    <n v="2213"/>
  </r>
  <r>
    <s v="KL-2018-5607413"/>
    <x v="132"/>
    <s v="Leon Dubois"/>
    <x v="6"/>
    <x v="6"/>
    <x v="9"/>
    <x v="0"/>
    <n v="1636"/>
    <n v="1024"/>
  </r>
  <r>
    <s v="KL-2018-5607350"/>
    <x v="133"/>
    <s v="Isla Moore"/>
    <x v="7"/>
    <x v="22"/>
    <x v="43"/>
    <x v="2"/>
    <n v="3021"/>
    <n v="1975"/>
  </r>
  <r>
    <s v="KL-2018-5607170"/>
    <x v="134"/>
    <s v="Mei Schneider"/>
    <x v="8"/>
    <x v="9"/>
    <x v="44"/>
    <x v="1"/>
    <n v="2387"/>
    <n v="1557"/>
  </r>
  <r>
    <s v="KL-2018-5607494"/>
    <x v="134"/>
    <s v="Hugo Adkins"/>
    <x v="1"/>
    <x v="18"/>
    <x v="27"/>
    <x v="1"/>
    <n v="5154"/>
    <n v="2593"/>
  </r>
  <r>
    <s v="KL-2018-5607304"/>
    <x v="135"/>
    <s v="Andre Ramos"/>
    <x v="0"/>
    <x v="0"/>
    <x v="0"/>
    <x v="0"/>
    <n v="4445"/>
    <n v="2924"/>
  </r>
  <r>
    <s v="KL-2018-5607229"/>
    <x v="136"/>
    <s v="Leon Nakamura"/>
    <x v="9"/>
    <x v="15"/>
    <x v="45"/>
    <x v="2"/>
    <n v="2521"/>
    <n v="1350"/>
  </r>
  <r>
    <s v="KL-2018-5607044"/>
    <x v="137"/>
    <s v="Tariq Larsson"/>
    <x v="9"/>
    <x v="13"/>
    <x v="46"/>
    <x v="2"/>
    <n v="2752"/>
    <n v="1756"/>
  </r>
  <r>
    <s v="KL-2018-5607152"/>
    <x v="138"/>
    <s v="Aristotle Weber"/>
    <x v="9"/>
    <x v="15"/>
    <x v="39"/>
    <x v="2"/>
    <n v="1625"/>
    <n v="1083"/>
  </r>
  <r>
    <s v="KL-2018-5607445"/>
    <x v="138"/>
    <s v="Wendy Noel"/>
    <x v="4"/>
    <x v="19"/>
    <x v="29"/>
    <x v="2"/>
    <n v="5048"/>
    <n v="3515"/>
  </r>
  <r>
    <s v="KL-2018-5607137"/>
    <x v="139"/>
    <s v="Julia Eriksson"/>
    <x v="8"/>
    <x v="10"/>
    <x v="33"/>
    <x v="1"/>
    <n v="5354"/>
    <n v="3242"/>
  </r>
  <r>
    <s v="KL-2018-5607162"/>
    <x v="140"/>
    <s v="Yuki Osei"/>
    <x v="9"/>
    <x v="13"/>
    <x v="16"/>
    <x v="2"/>
    <n v="4440"/>
    <n v="2763"/>
  </r>
  <r>
    <s v="KL-2018-5607193"/>
    <x v="141"/>
    <s v="Zephr Johansson"/>
    <x v="4"/>
    <x v="19"/>
    <x v="29"/>
    <x v="2"/>
    <n v="4368"/>
    <n v="3073"/>
  </r>
  <r>
    <s v="KL-2018-5607462"/>
    <x v="142"/>
    <s v="Rashid Fischer"/>
    <x v="3"/>
    <x v="3"/>
    <x v="3"/>
    <x v="2"/>
    <n v="3309"/>
    <n v="2124"/>
  </r>
  <r>
    <s v="KL-2018-5607199"/>
    <x v="143"/>
    <s v="Hugo Hodges"/>
    <x v="8"/>
    <x v="9"/>
    <x v="44"/>
    <x v="1"/>
    <n v="5478"/>
    <n v="3462"/>
  </r>
  <r>
    <s v="KL-2018-5607472"/>
    <x v="143"/>
    <s v="Fatima Fischer"/>
    <x v="5"/>
    <x v="5"/>
    <x v="5"/>
    <x v="0"/>
    <n v="1946"/>
    <n v="1086"/>
  </r>
  <r>
    <s v="KL-2018-5607081"/>
    <x v="144"/>
    <s v="Kiona Adkins"/>
    <x v="1"/>
    <x v="18"/>
    <x v="27"/>
    <x v="1"/>
    <n v="3782"/>
    <n v="2682"/>
  </r>
  <r>
    <s v="KL-2018-5607078"/>
    <x v="145"/>
    <s v="Tobias Hickman"/>
    <x v="1"/>
    <x v="1"/>
    <x v="1"/>
    <x v="1"/>
    <n v="4877"/>
    <n v="2230"/>
  </r>
  <r>
    <s v="KL-2018-5607183"/>
    <x v="146"/>
    <s v="Elsa Neal"/>
    <x v="9"/>
    <x v="14"/>
    <x v="31"/>
    <x v="2"/>
    <n v="4465"/>
    <n v="2696"/>
  </r>
  <r>
    <s v="KL-2018-5607358"/>
    <x v="146"/>
    <s v="Felix Osei"/>
    <x v="9"/>
    <x v="14"/>
    <x v="31"/>
    <x v="2"/>
    <n v="3520"/>
    <n v="2345"/>
  </r>
  <r>
    <s v="KL-2018-5607085"/>
    <x v="147"/>
    <s v="Lani Wagner"/>
    <x v="5"/>
    <x v="21"/>
    <x v="34"/>
    <x v="0"/>
    <n v="5033"/>
    <n v="2370"/>
  </r>
  <r>
    <s v="KL-2018-5607383"/>
    <x v="148"/>
    <s v="Tobias Horton"/>
    <x v="7"/>
    <x v="7"/>
    <x v="19"/>
    <x v="2"/>
    <n v="2618"/>
    <n v="1331"/>
  </r>
  <r>
    <s v="KL-2018-5607059"/>
    <x v="149"/>
    <s v="Guinevere Porter"/>
    <x v="1"/>
    <x v="8"/>
    <x v="8"/>
    <x v="1"/>
    <n v="2648"/>
    <n v="1526"/>
  </r>
  <r>
    <s v="KL-2018-5607184"/>
    <x v="149"/>
    <s v="Bruno Russo"/>
    <x v="1"/>
    <x v="8"/>
    <x v="8"/>
    <x v="1"/>
    <n v="5771"/>
    <n v="3119"/>
  </r>
  <r>
    <s v="KL-2018-5607100"/>
    <x v="150"/>
    <s v="Omar Horton"/>
    <x v="1"/>
    <x v="18"/>
    <x v="27"/>
    <x v="1"/>
    <n v="1660"/>
    <n v="1173"/>
  </r>
  <r>
    <s v="KL-2018-5607359"/>
    <x v="151"/>
    <s v="Hana Ahmed"/>
    <x v="1"/>
    <x v="18"/>
    <x v="37"/>
    <x v="1"/>
    <n v="2609"/>
    <n v="1412"/>
  </r>
  <r>
    <s v="KL-2018-5607265"/>
    <x v="152"/>
    <s v="Georgia Johansson"/>
    <x v="0"/>
    <x v="17"/>
    <x v="23"/>
    <x v="0"/>
    <n v="1732"/>
    <n v="821"/>
  </r>
  <r>
    <s v="KL-2018-5607079"/>
    <x v="153"/>
    <s v="Omar Johansson"/>
    <x v="1"/>
    <x v="18"/>
    <x v="37"/>
    <x v="1"/>
    <n v="2385"/>
    <n v="1346"/>
  </r>
  <r>
    <s v="KL-2018-5607381"/>
    <x v="154"/>
    <s v="Yuki Andersen"/>
    <x v="0"/>
    <x v="0"/>
    <x v="0"/>
    <x v="0"/>
    <n v="4965"/>
    <n v="2510"/>
  </r>
  <r>
    <s v="KL-2018-5607222"/>
    <x v="155"/>
    <s v="Felix Dejesus"/>
    <x v="1"/>
    <x v="18"/>
    <x v="27"/>
    <x v="1"/>
    <n v="3072"/>
    <n v="1591"/>
  </r>
  <r>
    <s v="KL-2018-5607054"/>
    <x v="156"/>
    <s v="Andre Nakamura"/>
    <x v="1"/>
    <x v="8"/>
    <x v="8"/>
    <x v="1"/>
    <n v="1558"/>
    <n v="734"/>
  </r>
  <r>
    <s v="KL-2018-5607480"/>
    <x v="157"/>
    <s v="Tariq Fischer"/>
    <x v="5"/>
    <x v="21"/>
    <x v="38"/>
    <x v="0"/>
    <n v="5178"/>
    <n v="2598"/>
  </r>
  <r>
    <s v="KL-2018-5607407"/>
    <x v="158"/>
    <s v="Leila Hickman"/>
    <x v="2"/>
    <x v="16"/>
    <x v="22"/>
    <x v="2"/>
    <n v="2210"/>
    <n v="1588"/>
  </r>
  <r>
    <s v="KL-2018-5607490"/>
    <x v="159"/>
    <s v="Ivan Larsson"/>
    <x v="5"/>
    <x v="5"/>
    <x v="5"/>
    <x v="0"/>
    <n v="5721"/>
    <n v="3932"/>
  </r>
  <r>
    <s v="KL-2018-5607257"/>
    <x v="160"/>
    <s v="Sasha Dubois"/>
    <x v="8"/>
    <x v="12"/>
    <x v="15"/>
    <x v="1"/>
    <n v="2926"/>
    <n v="2013"/>
  </r>
  <r>
    <s v="KL-2018-5607111"/>
    <x v="161"/>
    <s v="Aristotle Santos"/>
    <x v="8"/>
    <x v="10"/>
    <x v="13"/>
    <x v="1"/>
    <n v="1836"/>
    <n v="1017"/>
  </r>
  <r>
    <s v="KL-2018-5607106"/>
    <x v="162"/>
    <s v="Ingrid Hodges"/>
    <x v="4"/>
    <x v="19"/>
    <x v="29"/>
    <x v="2"/>
    <n v="4366"/>
    <n v="2258"/>
  </r>
  <r>
    <s v="KL-2018-5607038"/>
    <x v="163"/>
    <s v="Kiona Barrett"/>
    <x v="2"/>
    <x v="16"/>
    <x v="22"/>
    <x v="2"/>
    <n v="4488"/>
    <n v="2238"/>
  </r>
  <r>
    <s v="KL-2018-5607246"/>
    <x v="164"/>
    <s v="Fatima Weber"/>
    <x v="2"/>
    <x v="16"/>
    <x v="22"/>
    <x v="2"/>
    <n v="5564"/>
    <n v="3659"/>
  </r>
  <r>
    <s v="KL-2018-5607488"/>
    <x v="165"/>
    <s v="Felix Chen"/>
    <x v="4"/>
    <x v="19"/>
    <x v="29"/>
    <x v="2"/>
    <n v="2600"/>
    <n v="1404"/>
  </r>
  <r>
    <s v="KL-2018-5607365"/>
    <x v="166"/>
    <s v="Leila Muller"/>
    <x v="1"/>
    <x v="18"/>
    <x v="37"/>
    <x v="1"/>
    <n v="4966"/>
    <n v="3410"/>
  </r>
  <r>
    <s v="KL-2018-5607329"/>
    <x v="167"/>
    <s v="Felix Bowers"/>
    <x v="1"/>
    <x v="1"/>
    <x v="40"/>
    <x v="1"/>
    <n v="2461"/>
    <n v="1658"/>
  </r>
  <r>
    <s v="KL-2018-5607034"/>
    <x v="168"/>
    <s v="Julia Kane"/>
    <x v="2"/>
    <x v="16"/>
    <x v="22"/>
    <x v="2"/>
    <n v="2773"/>
    <n v="1426"/>
  </r>
  <r>
    <s v="KL-2018-5607050"/>
    <x v="169"/>
    <s v="Felix Sullivan"/>
    <x v="3"/>
    <x v="3"/>
    <x v="3"/>
    <x v="2"/>
    <n v="2201"/>
    <n v="1473"/>
  </r>
  <r>
    <s v="KL-2018-5607090"/>
    <x v="170"/>
    <s v="Tariq Osei"/>
    <x v="6"/>
    <x v="11"/>
    <x v="30"/>
    <x v="0"/>
    <n v="5722"/>
    <n v="3714"/>
  </r>
  <r>
    <s v="KL-2018-5607045"/>
    <x v="171"/>
    <s v="Hana Livingston"/>
    <x v="2"/>
    <x v="16"/>
    <x v="22"/>
    <x v="2"/>
    <n v="5834"/>
    <n v="3065"/>
  </r>
  <r>
    <s v="KL-2018-5607117"/>
    <x v="172"/>
    <s v="Carlos Chen"/>
    <x v="0"/>
    <x v="17"/>
    <x v="23"/>
    <x v="0"/>
    <n v="5732"/>
    <n v="4209"/>
  </r>
  <r>
    <s v="KL-2018-5607507"/>
    <x v="172"/>
    <s v="Rosa Nakamura"/>
    <x v="6"/>
    <x v="6"/>
    <x v="9"/>
    <x v="0"/>
    <n v="3320"/>
    <n v="1847"/>
  </r>
  <r>
    <s v="KL-2018-5607349"/>
    <x v="173"/>
    <s v="Kiona Livingston"/>
    <x v="7"/>
    <x v="22"/>
    <x v="43"/>
    <x v="2"/>
    <n v="1742"/>
    <n v="1115"/>
  </r>
  <r>
    <s v="KL-2018-5607132"/>
    <x v="174"/>
    <s v="Evan Patel"/>
    <x v="4"/>
    <x v="19"/>
    <x v="29"/>
    <x v="2"/>
    <n v="3667"/>
    <n v="2516"/>
  </r>
  <r>
    <s v="KL-2018-5607140"/>
    <x v="174"/>
    <s v="Nina Hassan"/>
    <x v="5"/>
    <x v="21"/>
    <x v="34"/>
    <x v="0"/>
    <n v="2221"/>
    <n v="1209"/>
  </r>
  <r>
    <s v="KL-2018-5607273"/>
    <x v="175"/>
    <s v="Isla Muller"/>
    <x v="4"/>
    <x v="19"/>
    <x v="29"/>
    <x v="2"/>
    <n v="4721"/>
    <n v="2840"/>
  </r>
  <r>
    <s v="KL-2018-5607348"/>
    <x v="176"/>
    <s v="Alicia Ramos"/>
    <x v="9"/>
    <x v="15"/>
    <x v="45"/>
    <x v="2"/>
    <n v="4333"/>
    <n v="2019"/>
  </r>
  <r>
    <s v="KL-2018-5607408"/>
    <x v="176"/>
    <s v="Julia Neal"/>
    <x v="0"/>
    <x v="17"/>
    <x v="35"/>
    <x v="0"/>
    <n v="5017"/>
    <n v="2731"/>
  </r>
  <r>
    <s v="KL-2018-5607409"/>
    <x v="176"/>
    <s v="Guinevere Chen"/>
    <x v="9"/>
    <x v="13"/>
    <x v="42"/>
    <x v="2"/>
    <n v="3834"/>
    <n v="2621"/>
  </r>
  <r>
    <s v="KL-2018-5607164"/>
    <x v="177"/>
    <s v="Priya Moore"/>
    <x v="0"/>
    <x v="17"/>
    <x v="23"/>
    <x v="0"/>
    <n v="3057"/>
    <n v="1945"/>
  </r>
  <r>
    <s v="KL-2018-5607379"/>
    <x v="178"/>
    <s v="Nadia Kim"/>
    <x v="0"/>
    <x v="0"/>
    <x v="0"/>
    <x v="0"/>
    <n v="2194"/>
    <n v="1429"/>
  </r>
  <r>
    <s v="KL-2018-5607224"/>
    <x v="179"/>
    <s v="Sopoline Johansson"/>
    <x v="7"/>
    <x v="7"/>
    <x v="17"/>
    <x v="2"/>
    <n v="4586"/>
    <n v="2275"/>
  </r>
  <r>
    <s v="KL-2018-5607341"/>
    <x v="179"/>
    <s v="Ingrid Petrov"/>
    <x v="8"/>
    <x v="9"/>
    <x v="12"/>
    <x v="1"/>
    <n v="4556"/>
    <n v="3361"/>
  </r>
  <r>
    <s v="KL-2018-5607429"/>
    <x v="180"/>
    <s v="Priya Fischer"/>
    <x v="8"/>
    <x v="20"/>
    <x v="32"/>
    <x v="1"/>
    <n v="4516"/>
    <n v="2833"/>
  </r>
  <r>
    <s v="KL-2018-5607155"/>
    <x v="181"/>
    <s v="Tobias Livingston"/>
    <x v="1"/>
    <x v="8"/>
    <x v="8"/>
    <x v="1"/>
    <n v="3363"/>
    <n v="2266"/>
  </r>
  <r>
    <s v="KL-2018-5607316"/>
    <x v="182"/>
    <s v="Elsa Mckenzie"/>
    <x v="1"/>
    <x v="1"/>
    <x v="1"/>
    <x v="1"/>
    <n v="3944"/>
    <n v="2322"/>
  </r>
  <r>
    <s v="KL-2018-5607363"/>
    <x v="182"/>
    <s v="Leon Neal"/>
    <x v="0"/>
    <x v="0"/>
    <x v="11"/>
    <x v="0"/>
    <n v="1720"/>
    <n v="1265"/>
  </r>
  <r>
    <s v="KL-2018-5607394"/>
    <x v="182"/>
    <s v="Isla Hickman"/>
    <x v="0"/>
    <x v="17"/>
    <x v="35"/>
    <x v="0"/>
    <n v="4573"/>
    <n v="2677"/>
  </r>
  <r>
    <s v="KL-2018-5607491"/>
    <x v="183"/>
    <s v="Felix Bergmann"/>
    <x v="5"/>
    <x v="5"/>
    <x v="5"/>
    <x v="0"/>
    <n v="5794"/>
    <n v="4135"/>
  </r>
  <r>
    <s v="KL-2018-5607291"/>
    <x v="184"/>
    <s v="Priya Neal"/>
    <x v="0"/>
    <x v="17"/>
    <x v="35"/>
    <x v="0"/>
    <n v="4327"/>
    <n v="3186"/>
  </r>
  <r>
    <s v="KL-2018-5607373"/>
    <x v="185"/>
    <s v="Amara Livingston"/>
    <x v="8"/>
    <x v="10"/>
    <x v="13"/>
    <x v="1"/>
    <n v="2442"/>
    <n v="1115"/>
  </r>
  <r>
    <s v="KL-2018-5607528"/>
    <x v="186"/>
    <s v="Diana Johansson"/>
    <x v="4"/>
    <x v="19"/>
    <x v="29"/>
    <x v="2"/>
    <n v="5691"/>
    <n v="2689"/>
  </r>
  <r>
    <s v="KL-2018-5607179"/>
    <x v="187"/>
    <s v="Diana Foster"/>
    <x v="9"/>
    <x v="15"/>
    <x v="21"/>
    <x v="2"/>
    <n v="3269"/>
    <n v="2268"/>
  </r>
  <r>
    <s v="KL-2018-5607089"/>
    <x v="188"/>
    <s v="Priya Foster"/>
    <x v="2"/>
    <x v="16"/>
    <x v="22"/>
    <x v="2"/>
    <n v="5119"/>
    <n v="2982"/>
  </r>
  <r>
    <s v="KL-2018-5607128"/>
    <x v="188"/>
    <s v="Henry Sullivan"/>
    <x v="9"/>
    <x v="15"/>
    <x v="39"/>
    <x v="2"/>
    <n v="3348"/>
    <n v="2285"/>
  </r>
  <r>
    <s v="KL-2018-5607135"/>
    <x v="188"/>
    <s v="Alicia Hassan"/>
    <x v="8"/>
    <x v="9"/>
    <x v="44"/>
    <x v="1"/>
    <n v="2158"/>
    <n v="1358"/>
  </r>
  <r>
    <s v="KL-2018-5607371"/>
    <x v="189"/>
    <s v="Aristotle Patel"/>
    <x v="2"/>
    <x v="2"/>
    <x v="26"/>
    <x v="2"/>
    <n v="2660"/>
    <n v="1474"/>
  </r>
  <r>
    <s v="KL-2018-5607470"/>
    <x v="189"/>
    <s v="Evan Adkins"/>
    <x v="2"/>
    <x v="2"/>
    <x v="2"/>
    <x v="2"/>
    <n v="2786"/>
    <n v="1298"/>
  </r>
  <r>
    <s v="KL-2018-5607332"/>
    <x v="190"/>
    <s v="Mei Barrett"/>
    <x v="4"/>
    <x v="4"/>
    <x v="25"/>
    <x v="2"/>
    <n v="4536"/>
    <n v="2467"/>
  </r>
  <r>
    <s v="KL-2018-5607504"/>
    <x v="190"/>
    <s v="Priya Barnes"/>
    <x v="2"/>
    <x v="16"/>
    <x v="22"/>
    <x v="2"/>
    <n v="1789"/>
    <n v="1117"/>
  </r>
  <r>
    <s v="KL-2018-5607417"/>
    <x v="191"/>
    <s v="Viktor Okafor"/>
    <x v="2"/>
    <x v="2"/>
    <x v="2"/>
    <x v="2"/>
    <n v="5083"/>
    <n v="3400"/>
  </r>
  <r>
    <s v="KL-2018-5607506"/>
    <x v="192"/>
    <s v="Nina Nakamura"/>
    <x v="6"/>
    <x v="6"/>
    <x v="9"/>
    <x v="0"/>
    <n v="5356"/>
    <n v="2615"/>
  </r>
  <r>
    <s v="KL-2018-5607425"/>
    <x v="193"/>
    <s v="Yuki Hickman"/>
    <x v="6"/>
    <x v="11"/>
    <x v="30"/>
    <x v="0"/>
    <n v="3339"/>
    <n v="1824"/>
  </r>
  <r>
    <s v="KL-2018-5607088"/>
    <x v="194"/>
    <s v="Hugo Dejesus"/>
    <x v="0"/>
    <x v="17"/>
    <x v="35"/>
    <x v="0"/>
    <n v="5988"/>
    <n v="4192"/>
  </r>
  <r>
    <s v="KL-2018-5607105"/>
    <x v="194"/>
    <s v="Amara Foster"/>
    <x v="4"/>
    <x v="4"/>
    <x v="4"/>
    <x v="2"/>
    <n v="4605"/>
    <n v="2456"/>
  </r>
  <r>
    <s v="KL-2018-5607116"/>
    <x v="194"/>
    <s v="Carlos Adkins"/>
    <x v="4"/>
    <x v="4"/>
    <x v="25"/>
    <x v="2"/>
    <n v="5494"/>
    <n v="2821"/>
  </r>
  <r>
    <s v="KL-2018-5607343"/>
    <x v="194"/>
    <s v="Yuki Nakamura"/>
    <x v="4"/>
    <x v="19"/>
    <x v="29"/>
    <x v="2"/>
    <n v="2903"/>
    <n v="1378"/>
  </r>
  <r>
    <s v="KL-2018-5607087"/>
    <x v="195"/>
    <s v="Amara Hassan"/>
    <x v="8"/>
    <x v="20"/>
    <x v="36"/>
    <x v="1"/>
    <n v="4944"/>
    <n v="3211"/>
  </r>
  <r>
    <s v="KL-2018-5607139"/>
    <x v="195"/>
    <s v="Carlos Okafor"/>
    <x v="9"/>
    <x v="13"/>
    <x v="16"/>
    <x v="2"/>
    <n v="4872"/>
    <n v="3206"/>
  </r>
  <r>
    <s v="KL-2018-5607052"/>
    <x v="196"/>
    <s v="Ria Dubois"/>
    <x v="1"/>
    <x v="8"/>
    <x v="8"/>
    <x v="1"/>
    <n v="4768"/>
    <n v="3569"/>
  </r>
  <r>
    <s v="KL-2018-5607192"/>
    <x v="196"/>
    <s v="Rosa Horton"/>
    <x v="8"/>
    <x v="12"/>
    <x v="15"/>
    <x v="1"/>
    <n v="2348"/>
    <n v="1463"/>
  </r>
  <r>
    <s v="KL-2018-5607173"/>
    <x v="197"/>
    <s v="Isla Neal"/>
    <x v="9"/>
    <x v="13"/>
    <x v="42"/>
    <x v="2"/>
    <n v="2611"/>
    <n v="1479"/>
  </r>
  <r>
    <s v="KL-2018-5607321"/>
    <x v="198"/>
    <s v="Diana Lindqvist"/>
    <x v="7"/>
    <x v="7"/>
    <x v="19"/>
    <x v="2"/>
    <n v="2673"/>
    <n v="1993"/>
  </r>
  <r>
    <s v="KL-2018-5607474"/>
    <x v="199"/>
    <s v="Leila Patel"/>
    <x v="9"/>
    <x v="14"/>
    <x v="18"/>
    <x v="2"/>
    <n v="4026"/>
    <n v="2759"/>
  </r>
  <r>
    <s v="KL-2018-5607077"/>
    <x v="200"/>
    <s v="Sopoline Petrov"/>
    <x v="1"/>
    <x v="8"/>
    <x v="8"/>
    <x v="1"/>
    <n v="2342"/>
    <n v="1302"/>
  </r>
  <r>
    <s v="KL-2018-5607204"/>
    <x v="201"/>
    <s v="Tariq Nakamura"/>
    <x v="7"/>
    <x v="7"/>
    <x v="19"/>
    <x v="2"/>
    <n v="1846"/>
    <n v="1072"/>
  </r>
  <r>
    <s v="KL-2018-5607040"/>
    <x v="202"/>
    <s v="Georgia Kim"/>
    <x v="2"/>
    <x v="16"/>
    <x v="22"/>
    <x v="2"/>
    <n v="4156"/>
    <n v="2921"/>
  </r>
  <r>
    <s v="KL-2018-5607092"/>
    <x v="202"/>
    <s v="Samuel Ahmed"/>
    <x v="9"/>
    <x v="14"/>
    <x v="31"/>
    <x v="2"/>
    <n v="3092"/>
    <n v="2057"/>
  </r>
  <r>
    <s v="KL-2018-5607074"/>
    <x v="203"/>
    <s v="Marcus Noel"/>
    <x v="3"/>
    <x v="3"/>
    <x v="3"/>
    <x v="2"/>
    <n v="3645"/>
    <n v="1816"/>
  </r>
  <r>
    <s v="KL-2018-5607191"/>
    <x v="204"/>
    <s v="Ivan Schneider"/>
    <x v="6"/>
    <x v="11"/>
    <x v="30"/>
    <x v="0"/>
    <n v="2501"/>
    <n v="1433"/>
  </r>
  <r>
    <s v="KL-2018-5607264"/>
    <x v="205"/>
    <s v="Raymond Nguyen"/>
    <x v="8"/>
    <x v="10"/>
    <x v="13"/>
    <x v="1"/>
    <n v="2881"/>
    <n v="1807"/>
  </r>
  <r>
    <s v="KL-2018-5607386"/>
    <x v="205"/>
    <s v="Kiona Dubois"/>
    <x v="8"/>
    <x v="20"/>
    <x v="32"/>
    <x v="1"/>
    <n v="5557"/>
    <n v="3417"/>
  </r>
  <r>
    <s v="KL-2018-5607031"/>
    <x v="206"/>
    <s v="Lana Chen"/>
    <x v="1"/>
    <x v="1"/>
    <x v="1"/>
    <x v="1"/>
    <n v="2339"/>
    <n v="1527"/>
  </r>
  <r>
    <s v="KL-2018-5607267"/>
    <x v="207"/>
    <s v="Patrick Muller"/>
    <x v="4"/>
    <x v="19"/>
    <x v="28"/>
    <x v="2"/>
    <n v="3936"/>
    <n v="2306"/>
  </r>
  <r>
    <s v="KL-2018-5607393"/>
    <x v="208"/>
    <s v="Alicia Mckenzie"/>
    <x v="1"/>
    <x v="1"/>
    <x v="40"/>
    <x v="1"/>
    <n v="4138"/>
    <n v="2890"/>
  </r>
  <r>
    <s v="KL-2018-5607220"/>
    <x v="209"/>
    <s v="Nadia Muller"/>
    <x v="2"/>
    <x v="2"/>
    <x v="26"/>
    <x v="2"/>
    <n v="4036"/>
    <n v="2492"/>
  </r>
  <r>
    <s v="KL-2018-5607209"/>
    <x v="210"/>
    <s v="Nadia Ramos"/>
    <x v="6"/>
    <x v="11"/>
    <x v="14"/>
    <x v="0"/>
    <n v="2699"/>
    <n v="1421"/>
  </r>
  <r>
    <s v="KL-2018-5607431"/>
    <x v="211"/>
    <s v="Kiona Dubois"/>
    <x v="7"/>
    <x v="7"/>
    <x v="19"/>
    <x v="2"/>
    <n v="1511"/>
    <n v="1023"/>
  </r>
  <r>
    <s v="KL-2018-5607285"/>
    <x v="212"/>
    <s v="Zephr Eriksson"/>
    <x v="1"/>
    <x v="1"/>
    <x v="40"/>
    <x v="1"/>
    <n v="2400"/>
    <n v="1217"/>
  </r>
  <r>
    <s v="KL-2018-5607351"/>
    <x v="212"/>
    <s v="Henry Ahmed"/>
    <x v="8"/>
    <x v="20"/>
    <x v="36"/>
    <x v="1"/>
    <n v="2172"/>
    <n v="1152"/>
  </r>
  <r>
    <s v="KL-2018-5607352"/>
    <x v="212"/>
    <s v="Evan Nguyen"/>
    <x v="6"/>
    <x v="6"/>
    <x v="6"/>
    <x v="0"/>
    <n v="4454"/>
    <n v="2146"/>
  </r>
  <r>
    <s v="KL-2018-5607521"/>
    <x v="213"/>
    <s v="Yuki Nguyen"/>
    <x v="8"/>
    <x v="10"/>
    <x v="13"/>
    <x v="1"/>
    <n v="1892"/>
    <n v="1227"/>
  </r>
  <r>
    <s v="KL-2018-5607435"/>
    <x v="214"/>
    <s v="Hedda Gomez"/>
    <x v="0"/>
    <x v="0"/>
    <x v="0"/>
    <x v="0"/>
    <n v="2570"/>
    <n v="1339"/>
  </r>
  <r>
    <s v="KL-2018-5607427"/>
    <x v="215"/>
    <s v="Stella Moore"/>
    <x v="5"/>
    <x v="21"/>
    <x v="34"/>
    <x v="0"/>
    <n v="2064"/>
    <n v="1471"/>
  </r>
  <r>
    <s v="KL-2018-5607317"/>
    <x v="216"/>
    <s v="Viktor Tanaka"/>
    <x v="1"/>
    <x v="1"/>
    <x v="10"/>
    <x v="1"/>
    <n v="4335"/>
    <n v="2152"/>
  </r>
  <r>
    <s v="KL-2018-5607217"/>
    <x v="217"/>
    <s v="Elsa Wagner"/>
    <x v="0"/>
    <x v="0"/>
    <x v="0"/>
    <x v="0"/>
    <n v="4554"/>
    <n v="3303"/>
  </r>
  <r>
    <s v="KL-2018-5607212"/>
    <x v="218"/>
    <s v="Bruno Nguyen"/>
    <x v="8"/>
    <x v="12"/>
    <x v="15"/>
    <x v="1"/>
    <n v="4383"/>
    <n v="2639"/>
  </r>
  <r>
    <s v="KL-2018-5607227"/>
    <x v="218"/>
    <s v="Dahlia Schneider"/>
    <x v="0"/>
    <x v="17"/>
    <x v="35"/>
    <x v="0"/>
    <n v="3808"/>
    <n v="2602"/>
  </r>
  <r>
    <s v="KL-2018-5607234"/>
    <x v="218"/>
    <s v="Bruno Ahmed"/>
    <x v="3"/>
    <x v="3"/>
    <x v="3"/>
    <x v="2"/>
    <n v="3596"/>
    <n v="1850"/>
  </r>
  <r>
    <s v="KL-2018-5607499"/>
    <x v="219"/>
    <s v="Evan Bergmann"/>
    <x v="8"/>
    <x v="9"/>
    <x v="44"/>
    <x v="1"/>
    <n v="4356"/>
    <n v="2560"/>
  </r>
  <r>
    <s v="KL-2018-5607149"/>
    <x v="220"/>
    <s v="Nadia Rivera"/>
    <x v="5"/>
    <x v="5"/>
    <x v="24"/>
    <x v="0"/>
    <n v="4136"/>
    <n v="2940"/>
  </r>
  <r>
    <s v="KL-2018-5607448"/>
    <x v="221"/>
    <s v="Omar Nakamura"/>
    <x v="4"/>
    <x v="19"/>
    <x v="29"/>
    <x v="2"/>
    <n v="3791"/>
    <n v="2141"/>
  </r>
  <r>
    <s v="KL-2018-5607091"/>
    <x v="222"/>
    <s v="Henry Sullivan"/>
    <x v="8"/>
    <x v="20"/>
    <x v="36"/>
    <x v="1"/>
    <n v="2707"/>
    <n v="1237"/>
  </r>
  <r>
    <s v="KL-2018-5607233"/>
    <x v="222"/>
    <s v="Zephr Mckenzie"/>
    <x v="3"/>
    <x v="3"/>
    <x v="3"/>
    <x v="2"/>
    <n v="2636"/>
    <n v="1786"/>
  </r>
  <r>
    <s v="KL-2018-5607447"/>
    <x v="223"/>
    <s v="Marcus Chen"/>
    <x v="4"/>
    <x v="19"/>
    <x v="29"/>
    <x v="2"/>
    <n v="3513"/>
    <n v="2263"/>
  </r>
  <r>
    <s v="KL-2018-5607101"/>
    <x v="224"/>
    <s v="Samuel Bowers"/>
    <x v="7"/>
    <x v="22"/>
    <x v="43"/>
    <x v="2"/>
    <n v="4932"/>
    <n v="3015"/>
  </r>
  <r>
    <s v="KL-2018-5607129"/>
    <x v="224"/>
    <s v="Bruno Weber"/>
    <x v="8"/>
    <x v="9"/>
    <x v="44"/>
    <x v="1"/>
    <n v="1993"/>
    <n v="1261"/>
  </r>
  <r>
    <s v="KL-2018-5607446"/>
    <x v="225"/>
    <s v="Isla Adkins"/>
    <x v="2"/>
    <x v="16"/>
    <x v="22"/>
    <x v="2"/>
    <n v="4399"/>
    <n v="2262"/>
  </r>
  <r>
    <s v="KL-2018-5607153"/>
    <x v="226"/>
    <s v="Patrick Hickman"/>
    <x v="9"/>
    <x v="14"/>
    <x v="31"/>
    <x v="2"/>
    <n v="4273"/>
    <n v="2721"/>
  </r>
  <r>
    <s v="KL-2018-5607239"/>
    <x v="227"/>
    <s v="Elsa Dubois"/>
    <x v="5"/>
    <x v="21"/>
    <x v="34"/>
    <x v="0"/>
    <n v="5351"/>
    <n v="2477"/>
  </r>
  <r>
    <s v="KL-2018-5607465"/>
    <x v="227"/>
    <s v="Nadia Barnes"/>
    <x v="9"/>
    <x v="15"/>
    <x v="21"/>
    <x v="2"/>
    <n v="1894"/>
    <n v="1071"/>
  </r>
  <r>
    <s v="KL-2018-5607083"/>
    <x v="228"/>
    <s v="Stella Gomez"/>
    <x v="8"/>
    <x v="10"/>
    <x v="33"/>
    <x v="1"/>
    <n v="5059"/>
    <n v="2801"/>
  </r>
  <r>
    <s v="KL-2018-5607436"/>
    <x v="228"/>
    <s v="Amara Hassan"/>
    <x v="7"/>
    <x v="22"/>
    <x v="43"/>
    <x v="2"/>
    <n v="3727"/>
    <n v="1938"/>
  </r>
  <r>
    <s v="KL-2018-5607484"/>
    <x v="229"/>
    <s v="Omar Hickman"/>
    <x v="6"/>
    <x v="11"/>
    <x v="14"/>
    <x v="0"/>
    <n v="2327"/>
    <n v="1595"/>
  </r>
  <r>
    <s v="KL-2018-5607460"/>
    <x v="230"/>
    <s v="Rosa Costa"/>
    <x v="4"/>
    <x v="4"/>
    <x v="25"/>
    <x v="2"/>
    <n v="4423"/>
    <n v="2286"/>
  </r>
  <r>
    <s v="KL-2018-5607071"/>
    <x v="231"/>
    <s v="Lani Johansson"/>
    <x v="5"/>
    <x v="5"/>
    <x v="5"/>
    <x v="0"/>
    <n v="2600"/>
    <n v="1376"/>
  </r>
  <r>
    <s v="KL-2018-5607167"/>
    <x v="232"/>
    <s v="Elsa Russo"/>
    <x v="8"/>
    <x v="20"/>
    <x v="32"/>
    <x v="1"/>
    <n v="5447"/>
    <n v="4031"/>
  </r>
  <r>
    <s v="KL-2018-5607276"/>
    <x v="232"/>
    <s v="Julia Hassan"/>
    <x v="7"/>
    <x v="7"/>
    <x v="19"/>
    <x v="2"/>
    <n v="1919"/>
    <n v="1191"/>
  </r>
  <r>
    <s v="KL-2018-5607437"/>
    <x v="233"/>
    <s v="Raymond Gomez"/>
    <x v="9"/>
    <x v="13"/>
    <x v="46"/>
    <x v="2"/>
    <n v="2846"/>
    <n v="1664"/>
  </r>
  <r>
    <s v="KL-2018-5607151"/>
    <x v="234"/>
    <s v="Yuki Johansson"/>
    <x v="6"/>
    <x v="6"/>
    <x v="9"/>
    <x v="0"/>
    <n v="2534"/>
    <n v="1522"/>
  </r>
  <r>
    <s v="KL-2018-5607388"/>
    <x v="235"/>
    <s v="Aristotle Ferreira"/>
    <x v="1"/>
    <x v="18"/>
    <x v="37"/>
    <x v="1"/>
    <n v="5184"/>
    <n v="2741"/>
  </r>
  <r>
    <s v="KL-2018-5607063"/>
    <x v="236"/>
    <s v="Priya Costa"/>
    <x v="5"/>
    <x v="5"/>
    <x v="5"/>
    <x v="0"/>
    <n v="3055"/>
    <n v="1646"/>
  </r>
  <r>
    <s v="KL-2018-5607387"/>
    <x v="237"/>
    <s v="Diana Neal"/>
    <x v="8"/>
    <x v="12"/>
    <x v="15"/>
    <x v="1"/>
    <n v="5115"/>
    <n v="3140"/>
  </r>
  <r>
    <s v="KL-2018-5607120"/>
    <x v="238"/>
    <s v="Nina Gomez"/>
    <x v="7"/>
    <x v="22"/>
    <x v="43"/>
    <x v="2"/>
    <n v="4985"/>
    <n v="3733"/>
  </r>
  <r>
    <s v="KL-2018-5607249"/>
    <x v="238"/>
    <s v="Bruno Lindqvist"/>
    <x v="2"/>
    <x v="2"/>
    <x v="2"/>
    <x v="2"/>
    <n v="4379"/>
    <n v="2557"/>
  </r>
  <r>
    <s v="KL-2018-5607237"/>
    <x v="239"/>
    <s v="Hana Dubois"/>
    <x v="3"/>
    <x v="3"/>
    <x v="3"/>
    <x v="2"/>
    <n v="3886"/>
    <n v="2249"/>
  </r>
  <r>
    <s v="KL-2018-5607423"/>
    <x v="239"/>
    <s v="Diana Kane"/>
    <x v="7"/>
    <x v="7"/>
    <x v="19"/>
    <x v="2"/>
    <n v="2342"/>
    <n v="1682"/>
  </r>
  <r>
    <s v="KL-2018-5607296"/>
    <x v="240"/>
    <s v="Omar Ferreira"/>
    <x v="4"/>
    <x v="4"/>
    <x v="25"/>
    <x v="2"/>
    <n v="3853"/>
    <n v="2105"/>
  </r>
  <r>
    <s v="KL-2018-5607502"/>
    <x v="241"/>
    <s v="Marcus Nguyen"/>
    <x v="7"/>
    <x v="22"/>
    <x v="43"/>
    <x v="2"/>
    <n v="3947"/>
    <n v="1999"/>
  </r>
  <r>
    <s v="KL-2018-5607270"/>
    <x v="242"/>
    <s v="Sasha Barrett"/>
    <x v="7"/>
    <x v="7"/>
    <x v="19"/>
    <x v="2"/>
    <n v="2503"/>
    <n v="1327"/>
  </r>
  <r>
    <s v="KL-2018-5607215"/>
    <x v="243"/>
    <s v="Amara Lindqvist"/>
    <x v="4"/>
    <x v="19"/>
    <x v="29"/>
    <x v="2"/>
    <n v="5190"/>
    <n v="2496"/>
  </r>
  <r>
    <s v="KL-2018-5607252"/>
    <x v="244"/>
    <s v="Leon Tanaka"/>
    <x v="0"/>
    <x v="0"/>
    <x v="11"/>
    <x v="0"/>
    <n v="5185"/>
    <n v="3809"/>
  </r>
  <r>
    <s v="KL-2018-5607073"/>
    <x v="245"/>
    <s v="Hugo Nguyen"/>
    <x v="8"/>
    <x v="9"/>
    <x v="44"/>
    <x v="1"/>
    <n v="1916"/>
    <n v="915"/>
  </r>
  <r>
    <s v="KL-2018-5607510"/>
    <x v="246"/>
    <s v="Elsa Muller"/>
    <x v="2"/>
    <x v="2"/>
    <x v="26"/>
    <x v="2"/>
    <n v="2625"/>
    <n v="1962"/>
  </r>
  <r>
    <s v="KL-2018-5607080"/>
    <x v="247"/>
    <s v="Samuel Moore"/>
    <x v="1"/>
    <x v="18"/>
    <x v="27"/>
    <x v="1"/>
    <n v="4000"/>
    <n v="2784"/>
  </r>
  <r>
    <s v="KL-2018-5607280"/>
    <x v="247"/>
    <s v="Raymond Bergmann"/>
    <x v="7"/>
    <x v="22"/>
    <x v="43"/>
    <x v="2"/>
    <n v="2720"/>
    <n v="1718"/>
  </r>
  <r>
    <s v="KL-2018-5607360"/>
    <x v="248"/>
    <s v="Carlos Ahmed"/>
    <x v="2"/>
    <x v="16"/>
    <x v="22"/>
    <x v="2"/>
    <n v="4242"/>
    <n v="2456"/>
  </r>
  <r>
    <s v="KL-2018-5607058"/>
    <x v="249"/>
    <s v="Hugo Ferreira"/>
    <x v="9"/>
    <x v="13"/>
    <x v="16"/>
    <x v="2"/>
    <n v="4279"/>
    <n v="2953"/>
  </r>
  <r>
    <s v="KL-2018-5607070"/>
    <x v="250"/>
    <s v="Guinevere Schneider"/>
    <x v="8"/>
    <x v="20"/>
    <x v="32"/>
    <x v="1"/>
    <n v="5950"/>
    <n v="3933"/>
  </r>
  <r>
    <s v="KL-2018-5607107"/>
    <x v="250"/>
    <s v="Rashid Ferreira"/>
    <x v="3"/>
    <x v="3"/>
    <x v="3"/>
    <x v="2"/>
    <n v="3133"/>
    <n v="2198"/>
  </r>
  <r>
    <s v="KL-2018-5607043"/>
    <x v="251"/>
    <s v="Ivan Nakamura"/>
    <x v="5"/>
    <x v="5"/>
    <x v="24"/>
    <x v="0"/>
    <n v="4771"/>
    <n v="2665"/>
  </r>
  <r>
    <s v="KL-2018-5607126"/>
    <x v="252"/>
    <s v="Carlos Dejesus"/>
    <x v="3"/>
    <x v="3"/>
    <x v="3"/>
    <x v="2"/>
    <n v="2434"/>
    <n v="1695"/>
  </r>
  <r>
    <s v="KL-2018-5607123"/>
    <x v="253"/>
    <s v="Rosa Gomez"/>
    <x v="5"/>
    <x v="5"/>
    <x v="5"/>
    <x v="0"/>
    <n v="3090"/>
    <n v="1665"/>
  </r>
  <r>
    <s v="KL-2018-5607145"/>
    <x v="254"/>
    <s v="Mei Neal"/>
    <x v="6"/>
    <x v="6"/>
    <x v="6"/>
    <x v="0"/>
    <n v="5668"/>
    <n v="3750"/>
  </r>
  <r>
    <s v="KL-2018-5607275"/>
    <x v="255"/>
    <s v="Priya Dubois"/>
    <x v="3"/>
    <x v="3"/>
    <x v="3"/>
    <x v="2"/>
    <n v="2597"/>
    <n v="1856"/>
  </r>
  <r>
    <s v="KL-2018-5607509"/>
    <x v="255"/>
    <s v="Abbot Nguyen"/>
    <x v="0"/>
    <x v="0"/>
    <x v="0"/>
    <x v="0"/>
    <n v="3093"/>
    <n v="1856"/>
  </r>
  <r>
    <s v="KL-2018-5607508"/>
    <x v="256"/>
    <s v="Omar Rivera"/>
    <x v="7"/>
    <x v="22"/>
    <x v="43"/>
    <x v="2"/>
    <n v="5299"/>
    <n v="3737"/>
  </r>
  <r>
    <s v="KL-2018-5607056"/>
    <x v="257"/>
    <s v="Ria Dubois"/>
    <x v="6"/>
    <x v="6"/>
    <x v="9"/>
    <x v="0"/>
    <n v="5374"/>
    <n v="3720"/>
  </r>
  <r>
    <s v="KL-2018-5607196"/>
    <x v="258"/>
    <s v="Diana Johansson"/>
    <x v="2"/>
    <x v="2"/>
    <x v="26"/>
    <x v="2"/>
    <n v="1751"/>
    <n v="836"/>
  </r>
  <r>
    <s v="KL-2018-5607035"/>
    <x v="259"/>
    <s v="Aristotle Hodges"/>
    <x v="2"/>
    <x v="2"/>
    <x v="2"/>
    <x v="2"/>
    <n v="4317"/>
    <n v="2724"/>
  </r>
  <r>
    <s v="KL-2018-5607281"/>
    <x v="260"/>
    <s v="Raymond Okafor"/>
    <x v="0"/>
    <x v="17"/>
    <x v="23"/>
    <x v="0"/>
    <n v="4719"/>
    <n v="3525"/>
  </r>
  <r>
    <s v="KL-2018-5607302"/>
    <x v="260"/>
    <s v="Amara Hodges"/>
    <x v="2"/>
    <x v="2"/>
    <x v="26"/>
    <x v="2"/>
    <n v="2651"/>
    <n v="1572"/>
  </r>
  <r>
    <s v="KL-2018-5607382"/>
    <x v="261"/>
    <s v="Sasha Kane"/>
    <x v="4"/>
    <x v="4"/>
    <x v="25"/>
    <x v="2"/>
    <n v="3032"/>
    <n v="1650"/>
  </r>
  <r>
    <s v="KL-2018-5607326"/>
    <x v="262"/>
    <s v="Raymond Tanaka"/>
    <x v="1"/>
    <x v="18"/>
    <x v="37"/>
    <x v="1"/>
    <n v="4205"/>
    <n v="2708"/>
  </r>
  <r>
    <s v="KL-2018-5607318"/>
    <x v="263"/>
    <s v="Rosa Neal"/>
    <x v="3"/>
    <x v="3"/>
    <x v="3"/>
    <x v="2"/>
    <n v="3471"/>
    <n v="1776"/>
  </r>
  <r>
    <s v="KL-2018-5607110"/>
    <x v="264"/>
    <s v="Felix Fischer"/>
    <x v="2"/>
    <x v="16"/>
    <x v="22"/>
    <x v="2"/>
    <n v="2122"/>
    <n v="1331"/>
  </r>
  <r>
    <s v="KL-2018-5607328"/>
    <x v="265"/>
    <s v="Hedda Porter"/>
    <x v="0"/>
    <x v="0"/>
    <x v="0"/>
    <x v="0"/>
    <n v="3211"/>
    <n v="2282"/>
  </r>
  <r>
    <s v="KL-2018-5607411"/>
    <x v="266"/>
    <s v="Guinevere Larsson"/>
    <x v="2"/>
    <x v="2"/>
    <x v="26"/>
    <x v="2"/>
    <n v="5592"/>
    <n v="3586"/>
  </r>
  <r>
    <s v="KL-2018-5607339"/>
    <x v="267"/>
    <s v="Lani Adkins"/>
    <x v="5"/>
    <x v="5"/>
    <x v="24"/>
    <x v="0"/>
    <n v="1640"/>
    <n v="985"/>
  </r>
  <r>
    <s v="KL-2018-5607051"/>
    <x v="268"/>
    <s v="Julia Dubois"/>
    <x v="6"/>
    <x v="11"/>
    <x v="30"/>
    <x v="0"/>
    <n v="2852"/>
    <n v="1510"/>
  </r>
  <r>
    <s v="KL-2018-5607097"/>
    <x v="269"/>
    <s v="Leila Chen"/>
    <x v="5"/>
    <x v="5"/>
    <x v="5"/>
    <x v="0"/>
    <n v="3749"/>
    <n v="2181"/>
  </r>
  <r>
    <s v="KL-2018-5607286"/>
    <x v="270"/>
    <s v="Amara Andersen"/>
    <x v="6"/>
    <x v="6"/>
    <x v="9"/>
    <x v="0"/>
    <n v="4861"/>
    <n v="2919"/>
  </r>
  <r>
    <s v="KL-2018-5607378"/>
    <x v="271"/>
    <s v="Ingrid Johansson"/>
    <x v="4"/>
    <x v="4"/>
    <x v="4"/>
    <x v="2"/>
    <n v="4715"/>
    <n v="2952"/>
  </r>
  <r>
    <s v="KL-2018-5607125"/>
    <x v="272"/>
    <s v="Alicia Mckenzie"/>
    <x v="4"/>
    <x v="19"/>
    <x v="29"/>
    <x v="2"/>
    <n v="3829"/>
    <n v="2262"/>
  </r>
  <r>
    <s v="KL-2018-5607475"/>
    <x v="273"/>
    <s v="Isla Johansson"/>
    <x v="8"/>
    <x v="10"/>
    <x v="13"/>
    <x v="1"/>
    <n v="5957"/>
    <n v="3373"/>
  </r>
  <r>
    <s v="KL-2018-5607262"/>
    <x v="274"/>
    <s v="Clara Russo"/>
    <x v="3"/>
    <x v="3"/>
    <x v="3"/>
    <x v="2"/>
    <n v="3991"/>
    <n v="1993"/>
  </r>
  <r>
    <s v="KL-2018-5607269"/>
    <x v="275"/>
    <s v="Amara Bergmann"/>
    <x v="7"/>
    <x v="22"/>
    <x v="43"/>
    <x v="2"/>
    <n v="2571"/>
    <n v="1743"/>
  </r>
  <r>
    <s v="KL-2018-5607301"/>
    <x v="276"/>
    <s v="Priya Fischer"/>
    <x v="1"/>
    <x v="1"/>
    <x v="40"/>
    <x v="1"/>
    <n v="4821"/>
    <n v="3365"/>
  </r>
  <r>
    <s v="KL-2018-5607210"/>
    <x v="277"/>
    <s v="Hana Hickman"/>
    <x v="9"/>
    <x v="13"/>
    <x v="42"/>
    <x v="2"/>
    <n v="5547"/>
    <n v="3268"/>
  </r>
  <r>
    <s v="KL-2018-5607454"/>
    <x v="277"/>
    <s v="Stella Sullivan"/>
    <x v="0"/>
    <x v="17"/>
    <x v="35"/>
    <x v="0"/>
    <n v="1731"/>
    <n v="1144"/>
  </r>
  <r>
    <s v="KL-2018-5607455"/>
    <x v="278"/>
    <s v="Diana Fischer"/>
    <x v="6"/>
    <x v="11"/>
    <x v="30"/>
    <x v="0"/>
    <n v="5941"/>
    <n v="3224"/>
  </r>
  <r>
    <s v="KL-2018-5607197"/>
    <x v="279"/>
    <s v="Ria Tanaka"/>
    <x v="2"/>
    <x v="16"/>
    <x v="22"/>
    <x v="2"/>
    <n v="2789"/>
    <n v="1564"/>
  </r>
  <r>
    <s v="KL-2018-5607194"/>
    <x v="280"/>
    <s v="Wendy Chen"/>
    <x v="0"/>
    <x v="0"/>
    <x v="0"/>
    <x v="0"/>
    <n v="1715"/>
    <n v="1085"/>
  </r>
  <r>
    <s v="KL-2018-5607247"/>
    <x v="280"/>
    <s v="Elsa Chen"/>
    <x v="9"/>
    <x v="15"/>
    <x v="39"/>
    <x v="2"/>
    <n v="2146"/>
    <n v="1242"/>
  </r>
  <r>
    <s v="KL-2018-5607451"/>
    <x v="281"/>
    <s v="Amara Lindqvist"/>
    <x v="1"/>
    <x v="1"/>
    <x v="10"/>
    <x v="1"/>
    <n v="1979"/>
    <n v="1370"/>
  </r>
  <r>
    <s v="KL-2018-5607159"/>
    <x v="282"/>
    <s v="Tobias Eriksson"/>
    <x v="1"/>
    <x v="18"/>
    <x v="37"/>
    <x v="1"/>
    <n v="3402"/>
    <n v="2001"/>
  </r>
  <r>
    <s v="KL-2018-5607315"/>
    <x v="282"/>
    <s v="Bruno Tanaka"/>
    <x v="2"/>
    <x v="2"/>
    <x v="26"/>
    <x v="2"/>
    <n v="4348"/>
    <n v="2111"/>
  </r>
  <r>
    <s v="KL-2018-5607500"/>
    <x v="283"/>
    <s v="Mei Muller"/>
    <x v="5"/>
    <x v="5"/>
    <x v="5"/>
    <x v="0"/>
    <n v="1560"/>
    <n v="941"/>
  </r>
  <r>
    <s v="KL-2018-5607202"/>
    <x v="284"/>
    <s v="Lani Foster"/>
    <x v="8"/>
    <x v="20"/>
    <x v="36"/>
    <x v="1"/>
    <n v="3593"/>
    <n v="1928"/>
  </r>
  <r>
    <s v="KL-2018-5607419"/>
    <x v="284"/>
    <s v="Felix Johansson"/>
    <x v="6"/>
    <x v="11"/>
    <x v="14"/>
    <x v="0"/>
    <n v="2624"/>
    <n v="1733"/>
  </r>
  <r>
    <s v="KL-2018-5607180"/>
    <x v="285"/>
    <s v="Carlos Hickman"/>
    <x v="0"/>
    <x v="0"/>
    <x v="0"/>
    <x v="0"/>
    <n v="2685"/>
    <n v="2003"/>
  </r>
  <r>
    <s v="KL-2018-5607271"/>
    <x v="286"/>
    <s v="Zephr Barrett"/>
    <x v="3"/>
    <x v="3"/>
    <x v="3"/>
    <x v="2"/>
    <n v="4925"/>
    <n v="2583"/>
  </r>
  <r>
    <s v="KL-2018-5607375"/>
    <x v="287"/>
    <s v="Mei Moore"/>
    <x v="2"/>
    <x v="2"/>
    <x v="26"/>
    <x v="2"/>
    <n v="5040"/>
    <n v="2866"/>
  </r>
  <r>
    <s v="KL-2018-5607356"/>
    <x v="288"/>
    <s v="Rosa Nakamura"/>
    <x v="1"/>
    <x v="8"/>
    <x v="8"/>
    <x v="1"/>
    <n v="4618"/>
    <n v="2312"/>
  </r>
  <r>
    <s v="KL-2018-5607422"/>
    <x v="289"/>
    <s v="Evan Fischer"/>
    <x v="9"/>
    <x v="14"/>
    <x v="31"/>
    <x v="2"/>
    <n v="5684"/>
    <n v="3171"/>
  </r>
  <r>
    <s v="KL-2018-5607075"/>
    <x v="290"/>
    <s v="Sasha Bergmann"/>
    <x v="2"/>
    <x v="2"/>
    <x v="26"/>
    <x v="2"/>
    <n v="2116"/>
    <n v="1552"/>
  </r>
  <r>
    <s v="KL-2018-5607161"/>
    <x v="290"/>
    <s v="Nadia Gomez"/>
    <x v="8"/>
    <x v="9"/>
    <x v="44"/>
    <x v="1"/>
    <n v="5242"/>
    <n v="3688"/>
  </r>
  <r>
    <s v="KL-2018-5607130"/>
    <x v="291"/>
    <s v="Julia Foster"/>
    <x v="1"/>
    <x v="18"/>
    <x v="37"/>
    <x v="1"/>
    <n v="2786"/>
    <n v="1454"/>
  </r>
  <r>
    <s v="KL-2018-5607188"/>
    <x v="291"/>
    <s v="Alicia Neal"/>
    <x v="5"/>
    <x v="21"/>
    <x v="34"/>
    <x v="0"/>
    <n v="5199"/>
    <n v="3724"/>
  </r>
  <r>
    <s v="KL-2018-5607171"/>
    <x v="292"/>
    <s v="Lana Ahmed"/>
    <x v="5"/>
    <x v="5"/>
    <x v="5"/>
    <x v="0"/>
    <n v="2017"/>
    <n v="1292"/>
  </r>
  <r>
    <s v="KL-2018-5607287"/>
    <x v="292"/>
    <s v="Ivan Ramos"/>
    <x v="3"/>
    <x v="3"/>
    <x v="3"/>
    <x v="2"/>
    <n v="4162"/>
    <n v="3119"/>
  </r>
  <r>
    <s v="KL-2018-5607201"/>
    <x v="293"/>
    <s v="Elsa Johansson"/>
    <x v="8"/>
    <x v="10"/>
    <x v="33"/>
    <x v="1"/>
    <n v="4737"/>
    <n v="3530"/>
  </r>
  <r>
    <s v="KL-2018-5607263"/>
    <x v="294"/>
    <s v="Evan Moore"/>
    <x v="7"/>
    <x v="22"/>
    <x v="41"/>
    <x v="2"/>
    <n v="3552"/>
    <n v="1807"/>
  </r>
  <r>
    <s v="KL-2018-5607415"/>
    <x v="295"/>
    <s v="Rashid Andersen"/>
    <x v="2"/>
    <x v="16"/>
    <x v="22"/>
    <x v="2"/>
    <n v="5895"/>
    <n v="3603"/>
  </r>
  <r>
    <s v="KL-2018-5607158"/>
    <x v="296"/>
    <s v="Omar Fischer"/>
    <x v="6"/>
    <x v="11"/>
    <x v="14"/>
    <x v="0"/>
    <n v="2146"/>
    <n v="1358"/>
  </r>
  <r>
    <s v="KL-2018-5607046"/>
    <x v="297"/>
    <s v="Hugo Ramos"/>
    <x v="9"/>
    <x v="15"/>
    <x v="45"/>
    <x v="2"/>
    <n v="3685"/>
    <n v="2507"/>
  </r>
  <r>
    <s v="KL-2018-5607505"/>
    <x v="298"/>
    <s v="Carlos Ramos"/>
    <x v="1"/>
    <x v="8"/>
    <x v="8"/>
    <x v="1"/>
    <n v="4436"/>
    <n v="2671"/>
  </r>
  <r>
    <s v="KL-2018-5607033"/>
    <x v="299"/>
    <s v="Sasha Porter"/>
    <x v="5"/>
    <x v="5"/>
    <x v="5"/>
    <x v="0"/>
    <n v="5179"/>
    <n v="3246"/>
  </r>
  <r>
    <s v="KL-2018-5607284"/>
    <x v="299"/>
    <s v="Hana Osei"/>
    <x v="8"/>
    <x v="20"/>
    <x v="36"/>
    <x v="1"/>
    <n v="5435"/>
    <n v="2723"/>
  </r>
  <r>
    <s v="KL-2018-5607410"/>
    <x v="299"/>
    <s v="Nina Muller"/>
    <x v="1"/>
    <x v="8"/>
    <x v="8"/>
    <x v="1"/>
    <n v="4709"/>
    <n v="2536"/>
  </r>
  <r>
    <s v="KL-2018-5607099"/>
    <x v="300"/>
    <s v="Alicia Hickman"/>
    <x v="1"/>
    <x v="1"/>
    <x v="10"/>
    <x v="1"/>
    <n v="4839"/>
    <n v="2657"/>
  </r>
  <r>
    <s v="KL-2018-5607308"/>
    <x v="301"/>
    <s v="Julia Sullivan"/>
    <x v="0"/>
    <x v="0"/>
    <x v="0"/>
    <x v="0"/>
    <n v="5826"/>
    <n v="3851"/>
  </r>
  <r>
    <s v="KL-2018-5607483"/>
    <x v="302"/>
    <s v="Sasha Okafor"/>
    <x v="8"/>
    <x v="9"/>
    <x v="12"/>
    <x v="1"/>
    <n v="5780"/>
    <n v="3956"/>
  </r>
  <r>
    <s v="KL-2018-5607337"/>
    <x v="303"/>
    <s v="Raymond Nguyen"/>
    <x v="1"/>
    <x v="1"/>
    <x v="40"/>
    <x v="1"/>
    <n v="2737"/>
    <n v="1239"/>
  </r>
  <r>
    <s v="KL-2018-5607303"/>
    <x v="304"/>
    <s v="Lani Barnes"/>
    <x v="2"/>
    <x v="2"/>
    <x v="2"/>
    <x v="2"/>
    <n v="3687"/>
    <n v="2714"/>
  </r>
  <r>
    <s v="KL-2018-5607323"/>
    <x v="305"/>
    <s v="Sasha Larsson"/>
    <x v="3"/>
    <x v="3"/>
    <x v="3"/>
    <x v="2"/>
    <n v="5796"/>
    <n v="3162"/>
  </r>
  <r>
    <s v="KL-2018-5607048"/>
    <x v="306"/>
    <s v="Tariq Dejesus"/>
    <x v="5"/>
    <x v="21"/>
    <x v="34"/>
    <x v="0"/>
    <n v="5658"/>
    <n v="3579"/>
  </r>
  <r>
    <s v="KL-2018-5607477"/>
    <x v="306"/>
    <s v="Kiona Chen"/>
    <x v="0"/>
    <x v="0"/>
    <x v="11"/>
    <x v="0"/>
    <n v="2292"/>
    <n v="1090"/>
  </r>
  <r>
    <s v="KL-2018-5607138"/>
    <x v="307"/>
    <s v="Marcus Dejesus"/>
    <x v="0"/>
    <x v="17"/>
    <x v="35"/>
    <x v="0"/>
    <n v="2247"/>
    <n v="1327"/>
  </r>
  <r>
    <s v="KL-2018-5607069"/>
    <x v="308"/>
    <s v="Hedda Dubois"/>
    <x v="1"/>
    <x v="8"/>
    <x v="8"/>
    <x v="1"/>
    <n v="2585"/>
    <n v="1886"/>
  </r>
  <r>
    <s v="KL-2018-5607530"/>
    <x v="308"/>
    <s v="Stella Noel"/>
    <x v="8"/>
    <x v="12"/>
    <x v="15"/>
    <x v="1"/>
    <n v="4989"/>
    <n v="3350"/>
  </r>
  <r>
    <s v="KL-2018-5607314"/>
    <x v="309"/>
    <s v="Sopoline Patel"/>
    <x v="2"/>
    <x v="2"/>
    <x v="26"/>
    <x v="2"/>
    <n v="4943"/>
    <n v="2779"/>
  </r>
  <r>
    <s v="KL-2018-5607452"/>
    <x v="309"/>
    <s v="Elsa Petrov"/>
    <x v="0"/>
    <x v="0"/>
    <x v="11"/>
    <x v="0"/>
    <n v="2320"/>
    <n v="1216"/>
  </r>
  <r>
    <s v="KL-2018-5607312"/>
    <x v="310"/>
    <s v="Rosa Adkins"/>
    <x v="2"/>
    <x v="16"/>
    <x v="22"/>
    <x v="2"/>
    <n v="3285"/>
    <n v="2048"/>
  </r>
  <r>
    <s v="KL-2018-5607251"/>
    <x v="311"/>
    <s v="Lana Hickman"/>
    <x v="0"/>
    <x v="17"/>
    <x v="23"/>
    <x v="0"/>
    <n v="2534"/>
    <n v="1191"/>
  </r>
  <r>
    <s v="KL-2018-5607272"/>
    <x v="311"/>
    <s v="Amara Fischer"/>
    <x v="7"/>
    <x v="7"/>
    <x v="7"/>
    <x v="2"/>
    <n v="5581"/>
    <n v="4179"/>
  </r>
  <r>
    <s v="KL-2018-5607238"/>
    <x v="312"/>
    <s v="Guinevere Fischer"/>
    <x v="2"/>
    <x v="2"/>
    <x v="26"/>
    <x v="2"/>
    <n v="5788"/>
    <n v="4296"/>
  </r>
  <r>
    <s v="KL-2018-5607250"/>
    <x v="312"/>
    <s v="Tobias Costa"/>
    <x v="8"/>
    <x v="10"/>
    <x v="33"/>
    <x v="1"/>
    <n v="4827"/>
    <n v="2698"/>
  </r>
  <r>
    <s v="KL-2018-5607057"/>
    <x v="313"/>
    <s v="Aristotle Barrett"/>
    <x v="2"/>
    <x v="16"/>
    <x v="22"/>
    <x v="2"/>
    <n v="4867"/>
    <n v="2872"/>
  </r>
  <r>
    <s v="KL-2018-5607283"/>
    <x v="314"/>
    <s v="Carlos Eriksson"/>
    <x v="9"/>
    <x v="14"/>
    <x v="47"/>
    <x v="2"/>
    <n v="4020"/>
    <n v="2769"/>
  </r>
  <r>
    <s v="KL-2018-5607104"/>
    <x v="315"/>
    <s v="Henry Ferreira"/>
    <x v="2"/>
    <x v="2"/>
    <x v="2"/>
    <x v="2"/>
    <n v="2988"/>
    <n v="1389"/>
  </r>
  <r>
    <s v="KL-2018-5607154"/>
    <x v="316"/>
    <s v="Patrick Hodges"/>
    <x v="7"/>
    <x v="22"/>
    <x v="43"/>
    <x v="2"/>
    <n v="5497"/>
    <n v="3912"/>
  </r>
  <r>
    <s v="KL-2018-5607041"/>
    <x v="317"/>
    <s v="Kiona Noel"/>
    <x v="7"/>
    <x v="22"/>
    <x v="43"/>
    <x v="2"/>
    <n v="2042"/>
    <n v="1048"/>
  </r>
  <r>
    <s v="KL-2018-5607320"/>
    <x v="318"/>
    <s v="Viktor Foster"/>
    <x v="3"/>
    <x v="3"/>
    <x v="3"/>
    <x v="2"/>
    <n v="3418"/>
    <n v="2374"/>
  </r>
  <r>
    <s v="KL-2018-5607402"/>
    <x v="318"/>
    <s v="Clara Ferreira"/>
    <x v="9"/>
    <x v="15"/>
    <x v="21"/>
    <x v="2"/>
    <n v="1508"/>
    <n v="775"/>
  </r>
  <r>
    <s v="KL-2018-5607473"/>
    <x v="319"/>
    <s v="Henry Patel"/>
    <x v="0"/>
    <x v="17"/>
    <x v="23"/>
    <x v="0"/>
    <n v="2294"/>
    <n v="1050"/>
  </r>
  <r>
    <s v="KL-2018-5607118"/>
    <x v="320"/>
    <s v="Guinevere Ramos"/>
    <x v="2"/>
    <x v="16"/>
    <x v="22"/>
    <x v="2"/>
    <n v="5400"/>
    <n v="3476"/>
  </r>
  <r>
    <s v="KL-2018-5607060"/>
    <x v="321"/>
    <s v="Mei Sullivan"/>
    <x v="9"/>
    <x v="14"/>
    <x v="47"/>
    <x v="2"/>
    <n v="2302"/>
    <n v="1070"/>
  </r>
  <r>
    <s v="KL-2018-5607254"/>
    <x v="321"/>
    <s v="Guinevere Neal"/>
    <x v="3"/>
    <x v="3"/>
    <x v="3"/>
    <x v="2"/>
    <n v="5741"/>
    <n v="3249"/>
  </r>
  <r>
    <s v="KL-2018-5607424"/>
    <x v="322"/>
    <s v="Kiona Russo"/>
    <x v="3"/>
    <x v="3"/>
    <x v="3"/>
    <x v="2"/>
    <n v="3503"/>
    <n v="1624"/>
  </r>
  <r>
    <s v="KL-2018-5607512"/>
    <x v="323"/>
    <s v="Carlos Nguyen"/>
    <x v="6"/>
    <x v="6"/>
    <x v="9"/>
    <x v="0"/>
    <n v="1538"/>
    <n v="900"/>
  </r>
  <r>
    <s v="KL-2018-5607141"/>
    <x v="324"/>
    <s v="Wendy Hassan"/>
    <x v="5"/>
    <x v="21"/>
    <x v="34"/>
    <x v="0"/>
    <n v="4885"/>
    <n v="2277"/>
  </r>
  <r>
    <s v="KL-2018-5607458"/>
    <x v="324"/>
    <s v="Abbot Adkins"/>
    <x v="6"/>
    <x v="11"/>
    <x v="14"/>
    <x v="0"/>
    <n v="5811"/>
    <n v="4115"/>
  </r>
  <r>
    <s v="KL-2018-5607230"/>
    <x v="325"/>
    <s v="Marcus Weber"/>
    <x v="5"/>
    <x v="21"/>
    <x v="34"/>
    <x v="0"/>
    <n v="2251"/>
    <n v="1652"/>
  </r>
  <r>
    <s v="KL-2018-5607503"/>
    <x v="326"/>
    <s v="Julia Sullivan"/>
    <x v="3"/>
    <x v="3"/>
    <x v="3"/>
    <x v="2"/>
    <n v="2646"/>
    <n v="1763"/>
  </r>
  <r>
    <s v="KL-2018-5607242"/>
    <x v="327"/>
    <s v="Rashid Eriksson"/>
    <x v="4"/>
    <x v="4"/>
    <x v="25"/>
    <x v="2"/>
    <n v="2604"/>
    <n v="1221"/>
  </r>
  <r>
    <s v="KL-2018-5607109"/>
    <x v="328"/>
    <s v="Georgia Lindqvist"/>
    <x v="0"/>
    <x v="0"/>
    <x v="11"/>
    <x v="0"/>
    <n v="4048"/>
    <n v="1952"/>
  </r>
  <r>
    <s v="KL-2018-5607259"/>
    <x v="328"/>
    <s v="Mei Nakamura"/>
    <x v="6"/>
    <x v="11"/>
    <x v="14"/>
    <x v="0"/>
    <n v="4033"/>
    <n v="2296"/>
  </r>
  <r>
    <s v="KL-2018-5607093"/>
    <x v="329"/>
    <s v="Isla Hassan"/>
    <x v="1"/>
    <x v="1"/>
    <x v="40"/>
    <x v="1"/>
    <n v="1545"/>
    <n v="1108"/>
  </r>
  <r>
    <s v="KL-2018-5607384"/>
    <x v="329"/>
    <s v="Sasha Russo"/>
    <x v="4"/>
    <x v="4"/>
    <x v="4"/>
    <x v="2"/>
    <n v="4904"/>
    <n v="3251"/>
  </r>
  <r>
    <s v="KL-2018-5607362"/>
    <x v="330"/>
    <s v="Amara Patel"/>
    <x v="4"/>
    <x v="19"/>
    <x v="28"/>
    <x v="2"/>
    <n v="4580"/>
    <n v="2446"/>
  </r>
  <r>
    <s v="KL-2018-5607412"/>
    <x v="331"/>
    <s v="Elsa Bowers"/>
    <x v="7"/>
    <x v="22"/>
    <x v="41"/>
    <x v="2"/>
    <n v="4668"/>
    <n v="3306"/>
  </r>
  <r>
    <s v="KL-2018-5607095"/>
    <x v="332"/>
    <s v="Wendy Kim"/>
    <x v="6"/>
    <x v="6"/>
    <x v="6"/>
    <x v="0"/>
    <n v="5125"/>
    <n v="3248"/>
  </r>
  <r>
    <s v="KL-2018-5607390"/>
    <x v="333"/>
    <s v="Georgia Ahmed"/>
    <x v="6"/>
    <x v="11"/>
    <x v="14"/>
    <x v="0"/>
    <n v="1986"/>
    <n v="1233"/>
  </r>
  <r>
    <s v="KL-2018-5607489"/>
    <x v="334"/>
    <s v="Rashid Okafor"/>
    <x v="8"/>
    <x v="9"/>
    <x v="12"/>
    <x v="1"/>
    <n v="3039"/>
    <n v="1770"/>
  </r>
  <r>
    <s v="KL-2018-5607319"/>
    <x v="335"/>
    <s v="Hana Noel"/>
    <x v="4"/>
    <x v="19"/>
    <x v="29"/>
    <x v="2"/>
    <n v="1862"/>
    <n v="1062"/>
  </r>
  <r>
    <s v="KL-2018-5607524"/>
    <x v="335"/>
    <s v="Nina Wagner"/>
    <x v="8"/>
    <x v="20"/>
    <x v="32"/>
    <x v="1"/>
    <n v="2359"/>
    <n v="1423"/>
  </r>
  <r>
    <s v="KL-2018-5607082"/>
    <x v="336"/>
    <s v="Nadia Ferreira"/>
    <x v="5"/>
    <x v="5"/>
    <x v="24"/>
    <x v="0"/>
    <n v="1726"/>
    <n v="836"/>
  </r>
  <r>
    <s v="KL-2018-5607243"/>
    <x v="337"/>
    <s v="Sopoline Patel"/>
    <x v="1"/>
    <x v="1"/>
    <x v="1"/>
    <x v="1"/>
    <n v="1843"/>
    <n v="1003"/>
  </r>
  <r>
    <s v="KL-2018-5607068"/>
    <x v="338"/>
    <s v="Nina Ferreira"/>
    <x v="8"/>
    <x v="9"/>
    <x v="44"/>
    <x v="1"/>
    <n v="2094"/>
    <n v="948"/>
  </r>
  <r>
    <s v="KL-2018-5607143"/>
    <x v="338"/>
    <s v="Priya Weber"/>
    <x v="4"/>
    <x v="19"/>
    <x v="29"/>
    <x v="2"/>
    <n v="3460"/>
    <n v="2293"/>
  </r>
  <r>
    <s v="KL-2018-5607520"/>
    <x v="338"/>
    <s v="Ria Ramos"/>
    <x v="3"/>
    <x v="3"/>
    <x v="3"/>
    <x v="2"/>
    <n v="4503"/>
    <n v="2986"/>
  </r>
  <r>
    <s v="KL-2018-5607065"/>
    <x v="339"/>
    <s v="Elsa Kane"/>
    <x v="3"/>
    <x v="3"/>
    <x v="3"/>
    <x v="2"/>
    <n v="2061"/>
    <n v="1295"/>
  </r>
  <r>
    <s v="KL-2018-5607228"/>
    <x v="339"/>
    <s v="Elsa Andersen"/>
    <x v="6"/>
    <x v="11"/>
    <x v="14"/>
    <x v="0"/>
    <n v="3548"/>
    <n v="1652"/>
  </r>
  <r>
    <s v="KL-2018-5607279"/>
    <x v="340"/>
    <s v="Sasha Schneider"/>
    <x v="6"/>
    <x v="11"/>
    <x v="30"/>
    <x v="0"/>
    <n v="5596"/>
    <n v="2585"/>
  </r>
  <r>
    <s v="KL-2018-5607461"/>
    <x v="341"/>
    <s v="Yuki Muller"/>
    <x v="8"/>
    <x v="20"/>
    <x v="36"/>
    <x v="1"/>
    <n v="1514"/>
    <n v="1112"/>
  </r>
  <r>
    <s v="KL-2018-5607391"/>
    <x v="342"/>
    <s v="Marcus Lindqvist"/>
    <x v="5"/>
    <x v="21"/>
    <x v="34"/>
    <x v="0"/>
    <n v="3897"/>
    <n v="2091"/>
  </r>
  <r>
    <s v="KL-2018-5607245"/>
    <x v="343"/>
    <s v="Priya Petrov"/>
    <x v="3"/>
    <x v="3"/>
    <x v="3"/>
    <x v="2"/>
    <n v="2519"/>
    <n v="1737"/>
  </r>
  <r>
    <s v="KL-2018-5607066"/>
    <x v="344"/>
    <s v="Fatima Neal"/>
    <x v="0"/>
    <x v="0"/>
    <x v="11"/>
    <x v="0"/>
    <n v="2171"/>
    <n v="1249"/>
  </r>
  <r>
    <s v="KL-2018-5607189"/>
    <x v="345"/>
    <s v="Carlos Kim"/>
    <x v="2"/>
    <x v="16"/>
    <x v="22"/>
    <x v="2"/>
    <n v="4060"/>
    <n v="2346"/>
  </r>
  <r>
    <s v="KL-2018-5607134"/>
    <x v="346"/>
    <s v="Abbot Kane"/>
    <x v="8"/>
    <x v="12"/>
    <x v="15"/>
    <x v="1"/>
    <n v="2518"/>
    <n v="1487"/>
  </r>
  <r>
    <s v="KL-2018-5607112"/>
    <x v="347"/>
    <s v="Nina Schneider"/>
    <x v="9"/>
    <x v="15"/>
    <x v="45"/>
    <x v="2"/>
    <n v="4295"/>
    <n v="1949"/>
  </r>
  <r>
    <s v="KL-2018-5607266"/>
    <x v="348"/>
    <s v="Patrick Foster"/>
    <x v="0"/>
    <x v="17"/>
    <x v="23"/>
    <x v="0"/>
    <n v="5579"/>
    <n v="3998"/>
  </r>
  <r>
    <s v="KL-2018-5607439"/>
    <x v="348"/>
    <s v="Wendy Hodges"/>
    <x v="6"/>
    <x v="6"/>
    <x v="9"/>
    <x v="0"/>
    <n v="3261"/>
    <n v="2285"/>
  </r>
  <r>
    <s v="KL-2018-5607186"/>
    <x v="349"/>
    <s v="Hedda Hodges"/>
    <x v="7"/>
    <x v="7"/>
    <x v="7"/>
    <x v="2"/>
    <n v="2533"/>
    <n v="1348"/>
  </r>
  <r>
    <s v="KL-2018-5607529"/>
    <x v="350"/>
    <s v="Ingrid Ferreira"/>
    <x v="1"/>
    <x v="18"/>
    <x v="27"/>
    <x v="1"/>
    <n v="3663"/>
    <n v="2158"/>
  </r>
  <r>
    <s v="KL-2018-5607278"/>
    <x v="351"/>
    <s v="Tobias Eriksson"/>
    <x v="0"/>
    <x v="0"/>
    <x v="11"/>
    <x v="0"/>
    <n v="2292"/>
    <n v="1302"/>
  </r>
  <r>
    <s v="KL-2018-5607166"/>
    <x v="352"/>
    <s v="Henry Patel"/>
    <x v="7"/>
    <x v="22"/>
    <x v="41"/>
    <x v="2"/>
    <n v="3144"/>
    <n v="1539"/>
  </r>
  <r>
    <s v="KL-2018-5607335"/>
    <x v="353"/>
    <s v="Rosa Ferreira"/>
    <x v="4"/>
    <x v="4"/>
    <x v="25"/>
    <x v="2"/>
    <n v="4385"/>
    <n v="2195"/>
  </r>
  <r>
    <s v="KL-2018-5607336"/>
    <x v="353"/>
    <s v="Stella Dubois"/>
    <x v="3"/>
    <x v="3"/>
    <x v="3"/>
    <x v="2"/>
    <n v="1897"/>
    <n v="1288"/>
  </r>
  <r>
    <s v="KL-2018-5607292"/>
    <x v="354"/>
    <s v="Priya Noel"/>
    <x v="8"/>
    <x v="10"/>
    <x v="20"/>
    <x v="1"/>
    <n v="5123"/>
    <n v="3313"/>
  </r>
  <r>
    <s v="KL-2018-5607198"/>
    <x v="355"/>
    <s v="Rashid Fischer"/>
    <x v="0"/>
    <x v="0"/>
    <x v="11"/>
    <x v="0"/>
    <n v="2774"/>
    <n v="1379"/>
  </r>
  <r>
    <s v="KL-2018-5607208"/>
    <x v="356"/>
    <s v="Kiona Rivera"/>
    <x v="6"/>
    <x v="11"/>
    <x v="14"/>
    <x v="0"/>
    <n v="5846"/>
    <n v="3525"/>
  </r>
  <r>
    <s v="KL-2018-5607142"/>
    <x v="357"/>
    <s v="Leon Ahmed"/>
    <x v="4"/>
    <x v="4"/>
    <x v="25"/>
    <x v="2"/>
    <n v="3167"/>
    <n v="1678"/>
  </r>
  <r>
    <s v="KL-2018-5607298"/>
    <x v="358"/>
    <s v="Sopoline Hassan"/>
    <x v="4"/>
    <x v="19"/>
    <x v="28"/>
    <x v="2"/>
    <n v="1806"/>
    <n v="817"/>
  </r>
  <r>
    <s v="KL-2018-5607289"/>
    <x v="359"/>
    <s v="Hugo Ramos"/>
    <x v="8"/>
    <x v="9"/>
    <x v="12"/>
    <x v="1"/>
    <n v="3519"/>
    <n v="1878"/>
  </r>
  <r>
    <s v="KL-2018-5607102"/>
    <x v="360"/>
    <s v="Isla Moore"/>
    <x v="8"/>
    <x v="9"/>
    <x v="44"/>
    <x v="1"/>
    <n v="1737"/>
    <n v="984"/>
  </r>
  <r>
    <s v="KL-2018-5607232"/>
    <x v="361"/>
    <s v="Yuki Hodges"/>
    <x v="7"/>
    <x v="7"/>
    <x v="7"/>
    <x v="2"/>
    <n v="4110"/>
    <n v="2997"/>
  </r>
  <r>
    <s v="KL-2018-5607200"/>
    <x v="362"/>
    <s v="Marcus Foster"/>
    <x v="5"/>
    <x v="21"/>
    <x v="34"/>
    <x v="0"/>
    <n v="5021"/>
    <n v="2426"/>
  </r>
  <r>
    <s v="KL-2018-5607032"/>
    <x v="363"/>
    <s v="Andre Costa"/>
    <x v="3"/>
    <x v="3"/>
    <x v="3"/>
    <x v="2"/>
    <n v="3291"/>
    <n v="1710"/>
  </r>
  <r>
    <s v="KL-2018-5607389"/>
    <x v="363"/>
    <s v="Bruno Neal"/>
    <x v="1"/>
    <x v="1"/>
    <x v="40"/>
    <x v="1"/>
    <n v="4372"/>
    <n v="3096"/>
  </r>
  <r>
    <s v="KL-2018-5607385"/>
    <x v="364"/>
    <s v="Isla Kane"/>
    <x v="9"/>
    <x v="15"/>
    <x v="21"/>
    <x v="2"/>
    <n v="3306"/>
    <n v="1777"/>
  </r>
  <r>
    <s v="KL-2018-5607442"/>
    <x v="365"/>
    <s v="Raymond Neal"/>
    <x v="3"/>
    <x v="3"/>
    <x v="3"/>
    <x v="2"/>
    <n v="2570"/>
    <n v="1309"/>
  </r>
  <r>
    <s v="KL-2018-5607163"/>
    <x v="366"/>
    <s v="Lana Johansson"/>
    <x v="2"/>
    <x v="16"/>
    <x v="22"/>
    <x v="2"/>
    <n v="1901"/>
    <n v="1374"/>
  </r>
  <r>
    <s v="KL-2018-5607168"/>
    <x v="366"/>
    <s v="Ivan Rivera"/>
    <x v="9"/>
    <x v="14"/>
    <x v="18"/>
    <x v="2"/>
    <n v="2653"/>
    <n v="1794"/>
  </r>
  <r>
    <s v="KL-2018-5607498"/>
    <x v="367"/>
    <s v="Patrick Dejesus"/>
    <x v="0"/>
    <x v="0"/>
    <x v="11"/>
    <x v="0"/>
    <n v="3567"/>
    <n v="2256"/>
  </r>
  <r>
    <s v="KL-2018-5607213"/>
    <x v="368"/>
    <s v="Mei Weber"/>
    <x v="3"/>
    <x v="3"/>
    <x v="3"/>
    <x v="2"/>
    <n v="3851"/>
    <n v="1821"/>
  </r>
  <r>
    <s v="KL-2018-5607244"/>
    <x v="368"/>
    <s v="Tariq Hassan"/>
    <x v="5"/>
    <x v="5"/>
    <x v="24"/>
    <x v="0"/>
    <n v="1799"/>
    <n v="1216"/>
  </r>
  <r>
    <s v="KL-2018-5607187"/>
    <x v="369"/>
    <s v="Yuki Lindqvist"/>
    <x v="5"/>
    <x v="5"/>
    <x v="24"/>
    <x v="0"/>
    <n v="5641"/>
    <n v="3563"/>
  </r>
  <r>
    <s v="KL-2018-5607047"/>
    <x v="370"/>
    <s v="Wendy Patel"/>
    <x v="2"/>
    <x v="2"/>
    <x v="2"/>
    <x v="2"/>
    <n v="1526"/>
    <n v="1123"/>
  </r>
  <r>
    <s v="KL-2018-5607414"/>
    <x v="371"/>
    <s v="Ingrid Foster"/>
    <x v="3"/>
    <x v="3"/>
    <x v="3"/>
    <x v="2"/>
    <n v="5650"/>
    <n v="3028"/>
  </r>
  <r>
    <s v="KL-2018-5607370"/>
    <x v="372"/>
    <s v="Bruno Schneider"/>
    <x v="2"/>
    <x v="16"/>
    <x v="22"/>
    <x v="2"/>
    <n v="4325"/>
    <n v="3240"/>
  </r>
  <r>
    <s v="KL-2018-5607459"/>
    <x v="373"/>
    <s v="Leon Bergmann"/>
    <x v="2"/>
    <x v="2"/>
    <x v="2"/>
    <x v="2"/>
    <n v="3972"/>
    <n v="2171"/>
  </r>
  <r>
    <s v="KL-2018-5607181"/>
    <x v="374"/>
    <s v="Stella Neal"/>
    <x v="3"/>
    <x v="3"/>
    <x v="3"/>
    <x v="2"/>
    <n v="4434"/>
    <n v="3046"/>
  </r>
  <r>
    <s v="KL-2018-5607176"/>
    <x v="375"/>
    <s v="Guinevere Schneider"/>
    <x v="9"/>
    <x v="15"/>
    <x v="39"/>
    <x v="2"/>
    <n v="5960"/>
    <n v="4294"/>
  </r>
  <r>
    <s v="KL-2018-5607405"/>
    <x v="376"/>
    <s v="Aristotle Okafor"/>
    <x v="7"/>
    <x v="22"/>
    <x v="41"/>
    <x v="2"/>
    <n v="4635"/>
    <n v="3161"/>
  </r>
  <r>
    <s v="KL-2018-5607342"/>
    <x v="377"/>
    <s v="Diana Sullivan"/>
    <x v="1"/>
    <x v="18"/>
    <x v="37"/>
    <x v="1"/>
    <n v="1759"/>
    <n v="840"/>
  </r>
  <r>
    <s v="KL-2018-5607495"/>
    <x v="378"/>
    <s v="Andre Nakamura"/>
    <x v="7"/>
    <x v="22"/>
    <x v="41"/>
    <x v="2"/>
    <n v="3618"/>
    <n v="2441"/>
  </r>
  <r>
    <s v="KL-2018-5607144"/>
    <x v="379"/>
    <s v="Sasha Bowers"/>
    <x v="5"/>
    <x v="5"/>
    <x v="5"/>
    <x v="0"/>
    <n v="3340"/>
    <n v="2497"/>
  </r>
  <r>
    <s v="KL-2018-5607306"/>
    <x v="379"/>
    <s v="Alicia Neal"/>
    <x v="8"/>
    <x v="12"/>
    <x v="15"/>
    <x v="1"/>
    <n v="3295"/>
    <n v="2429"/>
  </r>
  <r>
    <s v="KL-2018-5607175"/>
    <x v="380"/>
    <s v="Tobias Andersen"/>
    <x v="8"/>
    <x v="10"/>
    <x v="13"/>
    <x v="1"/>
    <n v="4535"/>
    <n v="2336"/>
  </r>
  <r>
    <s v="KL-2018-5607039"/>
    <x v="381"/>
    <s v="Ria Johansson"/>
    <x v="8"/>
    <x v="10"/>
    <x v="13"/>
    <x v="1"/>
    <n v="2901"/>
    <n v="1770"/>
  </r>
  <r>
    <s v="KL-2018-5607368"/>
    <x v="381"/>
    <s v="Georgia Ferreira"/>
    <x v="0"/>
    <x v="0"/>
    <x v="0"/>
    <x v="0"/>
    <n v="4216"/>
    <n v="3118"/>
  </r>
  <r>
    <s v="KL-2018-5607515"/>
    <x v="382"/>
    <s v="Dahlia Ramos"/>
    <x v="7"/>
    <x v="7"/>
    <x v="19"/>
    <x v="2"/>
    <n v="5850"/>
    <n v="2966"/>
  </r>
  <r>
    <s v="KL-2018-5607122"/>
    <x v="383"/>
    <s v="Amara Neal"/>
    <x v="5"/>
    <x v="21"/>
    <x v="38"/>
    <x v="0"/>
    <n v="3272"/>
    <n v="2197"/>
  </r>
  <r>
    <s v="KL-2018-5607300"/>
    <x v="383"/>
    <s v="Wendy Rivera"/>
    <x v="6"/>
    <x v="6"/>
    <x v="6"/>
    <x v="0"/>
    <n v="3025"/>
    <n v="1374"/>
  </r>
  <r>
    <s v="KL-2018-5607174"/>
    <x v="384"/>
    <s v="Nina Santos"/>
    <x v="5"/>
    <x v="5"/>
    <x v="5"/>
    <x v="0"/>
    <n v="4898"/>
    <n v="3166"/>
  </r>
  <r>
    <s v="KL-2018-5607476"/>
    <x v="384"/>
    <s v="Yuki Schneider"/>
    <x v="6"/>
    <x v="6"/>
    <x v="9"/>
    <x v="0"/>
    <n v="3656"/>
    <n v="2127"/>
  </r>
  <r>
    <s v="KL-2018-5607036"/>
    <x v="385"/>
    <s v="Rosa Kim"/>
    <x v="5"/>
    <x v="21"/>
    <x v="34"/>
    <x v="0"/>
    <n v="2145"/>
    <n v="1320"/>
  </r>
  <r>
    <s v="KL-2018-5607064"/>
    <x v="386"/>
    <s v="Andre Dubois"/>
    <x v="3"/>
    <x v="3"/>
    <x v="3"/>
    <x v="2"/>
    <n v="1910"/>
    <n v="1194"/>
  </r>
  <r>
    <s v="KL-2018-5607146"/>
    <x v="387"/>
    <s v="Samuel Osei"/>
    <x v="1"/>
    <x v="18"/>
    <x v="37"/>
    <x v="1"/>
    <n v="4642"/>
    <n v="2354"/>
  </r>
  <r>
    <s v="KL-2018-5607517"/>
    <x v="388"/>
    <s v="Yuki Russo"/>
    <x v="0"/>
    <x v="17"/>
    <x v="23"/>
    <x v="0"/>
    <n v="2034"/>
    <n v="1418"/>
  </r>
  <r>
    <s v="KL-2018-5607205"/>
    <x v="389"/>
    <s v="Hedda Okafor"/>
    <x v="0"/>
    <x v="17"/>
    <x v="35"/>
    <x v="0"/>
    <n v="4921"/>
    <n v="2641"/>
  </r>
  <r>
    <s v="KL-2018-5607255"/>
    <x v="390"/>
    <s v="Ingrid Barnes"/>
    <x v="4"/>
    <x v="19"/>
    <x v="28"/>
    <x v="2"/>
    <n v="5523"/>
    <n v="2817"/>
  </r>
  <r>
    <s v="KL-2018-5607525"/>
    <x v="390"/>
    <s v="Priya Neal"/>
    <x v="9"/>
    <x v="14"/>
    <x v="18"/>
    <x v="2"/>
    <n v="3136"/>
    <n v="2143"/>
  </r>
  <r>
    <s v="KL-2018-5607406"/>
    <x v="391"/>
    <s v="Patrick Eriksson"/>
    <x v="6"/>
    <x v="11"/>
    <x v="14"/>
    <x v="0"/>
    <n v="2844"/>
    <n v="1655"/>
  </r>
  <r>
    <s v="KL-2018-5607519"/>
    <x v="392"/>
    <s v="Nadia Porter"/>
    <x v="6"/>
    <x v="6"/>
    <x v="9"/>
    <x v="0"/>
    <n v="3371"/>
    <n v="1743"/>
  </r>
  <r>
    <s v="KL-2018-5607096"/>
    <x v="393"/>
    <s v="Clara Nakamura"/>
    <x v="4"/>
    <x v="19"/>
    <x v="28"/>
    <x v="2"/>
    <n v="5186"/>
    <n v="2736"/>
  </r>
  <r>
    <s v="KL-2018-5607434"/>
    <x v="394"/>
    <s v="Omar Santos"/>
    <x v="7"/>
    <x v="22"/>
    <x v="41"/>
    <x v="2"/>
    <n v="2282"/>
    <n v="1372"/>
  </r>
  <r>
    <s v="KL-2018-5607397"/>
    <x v="395"/>
    <s v="Fatima Foster"/>
    <x v="2"/>
    <x v="2"/>
    <x v="2"/>
    <x v="2"/>
    <n v="3699"/>
    <n v="2022"/>
  </r>
  <r>
    <s v="KL-2018-5607061"/>
    <x v="396"/>
    <s v="Henry Sullivan"/>
    <x v="6"/>
    <x v="6"/>
    <x v="6"/>
    <x v="0"/>
    <n v="5443"/>
    <n v="2798"/>
  </r>
  <r>
    <s v="KL-2018-5607231"/>
    <x v="397"/>
    <s v="Bruno Petrov"/>
    <x v="3"/>
    <x v="3"/>
    <x v="3"/>
    <x v="2"/>
    <n v="4747"/>
    <n v="2851"/>
  </r>
  <r>
    <s v="KL-2018-5607127"/>
    <x v="398"/>
    <s v="Isla Livingston"/>
    <x v="0"/>
    <x v="0"/>
    <x v="11"/>
    <x v="0"/>
    <n v="2722"/>
    <n v="1887"/>
  </r>
  <r>
    <s v="KL-2018-5607443"/>
    <x v="398"/>
    <s v="Leon Eriksson"/>
    <x v="9"/>
    <x v="15"/>
    <x v="45"/>
    <x v="2"/>
    <n v="3620"/>
    <n v="2625"/>
  </r>
  <r>
    <s v="KL-2018-5607340"/>
    <x v="399"/>
    <s v="Stella Barrett"/>
    <x v="9"/>
    <x v="15"/>
    <x v="21"/>
    <x v="2"/>
    <n v="3474"/>
    <n v="1763"/>
  </r>
  <r>
    <s v="KL-2018-5607369"/>
    <x v="399"/>
    <s v="Aristotle Bowers"/>
    <x v="9"/>
    <x v="14"/>
    <x v="18"/>
    <x v="2"/>
    <n v="5683"/>
    <n v="3830"/>
  </r>
  <r>
    <s v="KL-2018-5607345"/>
    <x v="400"/>
    <s v="Marcus Noel"/>
    <x v="9"/>
    <x v="15"/>
    <x v="39"/>
    <x v="2"/>
    <n v="5948"/>
    <n v="3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KL-2018-5607253"/>
    <d v="2020-02-01T00:00:00"/>
    <s v="Bruno Livingston"/>
    <x v="0"/>
    <x v="0"/>
    <s v="Solna"/>
    <x v="0"/>
    <n v="4760"/>
    <n v="2590"/>
  </r>
  <r>
    <s v="KL-2018-5607492"/>
    <d v="2018-03-01T00:00:00"/>
    <s v="Stella Porter"/>
    <x v="1"/>
    <x v="1"/>
    <s v="Gandia"/>
    <x v="1"/>
    <n v="1770"/>
    <n v="1038"/>
  </r>
  <r>
    <s v="KL-2018-5607062"/>
    <d v="2020-04-01T00:00:00"/>
    <s v="Abbot Kane"/>
    <x v="2"/>
    <x v="2"/>
    <s v="Mechelen"/>
    <x v="2"/>
    <n v="3672"/>
    <n v="2673"/>
  </r>
  <r>
    <s v="KL-2018-5607055"/>
    <d v="2018-05-01T00:00:00"/>
    <s v="Kiona Livingston"/>
    <x v="3"/>
    <x v="3"/>
    <s v="Vienna"/>
    <x v="2"/>
    <n v="5711"/>
    <n v="2977"/>
  </r>
  <r>
    <s v="KL-2018-5607366"/>
    <d v="2018-06-01T00:00:00"/>
    <s v="Bruno Lindqvist"/>
    <x v="4"/>
    <x v="4"/>
    <s v="The Hague"/>
    <x v="2"/>
    <n v="5953"/>
    <n v="2744"/>
  </r>
  <r>
    <s v="KL-2018-5607354"/>
    <d v="2020-06-01T00:00:00"/>
    <s v="Bruno Nakamura"/>
    <x v="5"/>
    <x v="5"/>
    <s v="Krakow"/>
    <x v="0"/>
    <n v="1715"/>
    <n v="817"/>
  </r>
  <r>
    <s v="KL-2018-5607311"/>
    <d v="2020-07-01T00:00:00"/>
    <s v="Abbot Kim"/>
    <x v="6"/>
    <x v="6"/>
    <s v="Odense"/>
    <x v="0"/>
    <n v="1972"/>
    <n v="1217"/>
  </r>
  <r>
    <s v="KL-2018-5607241"/>
    <d v="2018-08-01T00:00:00"/>
    <s v="Rashid Gomez"/>
    <x v="7"/>
    <x v="7"/>
    <s v="Villiers-sur-Marne"/>
    <x v="2"/>
    <n v="4386"/>
    <n v="2692"/>
  </r>
  <r>
    <s v="KL-2018-5607456"/>
    <d v="2020-10-01T00:00:00"/>
    <s v="Sopoline Hodges"/>
    <x v="3"/>
    <x v="3"/>
    <s v="Vienna"/>
    <x v="2"/>
    <n v="1663"/>
    <n v="1010"/>
  </r>
  <r>
    <s v="KL-2018-5607338"/>
    <d v="2020-11-01T00:00:00"/>
    <s v="Mei Schneider"/>
    <x v="3"/>
    <x v="3"/>
    <s v="Vienna"/>
    <x v="2"/>
    <n v="1628"/>
    <n v="735"/>
  </r>
  <r>
    <s v="KL-2018-5607310"/>
    <d v="2020-12-01T00:00:00"/>
    <s v="Bruno Neal"/>
    <x v="1"/>
    <x v="8"/>
    <s v="Madrid"/>
    <x v="1"/>
    <n v="2244"/>
    <n v="1614"/>
  </r>
  <r>
    <s v="KL-2018-5607400"/>
    <d v="2018-01-02T00:00:00"/>
    <s v="Clara Porter"/>
    <x v="6"/>
    <x v="6"/>
    <s v="Esbjerg"/>
    <x v="0"/>
    <n v="3744"/>
    <n v="1789"/>
  </r>
  <r>
    <s v="KL-2018-5607457"/>
    <d v="2018-01-02T00:00:00"/>
    <s v="Carlos Ahmed"/>
    <x v="1"/>
    <x v="1"/>
    <s v="Valencia"/>
    <x v="1"/>
    <n v="2953"/>
    <n v="2142"/>
  </r>
  <r>
    <s v="KL-2018-5607527"/>
    <d v="2019-03-02T00:00:00"/>
    <s v="Alicia Osei"/>
    <x v="7"/>
    <x v="7"/>
    <s v="Villiers-sur-Marne"/>
    <x v="2"/>
    <n v="1604"/>
    <n v="1044"/>
  </r>
  <r>
    <s v="KL-2018-5607219"/>
    <d v="2020-03-02T00:00:00"/>
    <s v="Priya Barnes"/>
    <x v="0"/>
    <x v="0"/>
    <s v="Solna"/>
    <x v="0"/>
    <n v="2167"/>
    <n v="1353"/>
  </r>
  <r>
    <s v="KL-2018-5607297"/>
    <d v="2018-05-02T00:00:00"/>
    <s v="Rashid Hodges"/>
    <x v="0"/>
    <x v="0"/>
    <s v="Stockholm"/>
    <x v="0"/>
    <n v="2934"/>
    <n v="1688"/>
  </r>
  <r>
    <s v="KL-2018-5607226"/>
    <d v="2019-05-02T00:00:00"/>
    <s v="Bruno Ahmed"/>
    <x v="8"/>
    <x v="9"/>
    <s v="Bangalore"/>
    <x v="1"/>
    <n v="5874"/>
    <n v="3064"/>
  </r>
  <r>
    <s v="KL-2018-5607324"/>
    <d v="2020-05-02T00:00:00"/>
    <s v="Omar Hickman"/>
    <x v="8"/>
    <x v="9"/>
    <s v="Bangalore"/>
    <x v="1"/>
    <n v="5906"/>
    <n v="3496"/>
  </r>
  <r>
    <s v="KL-2018-5607426"/>
    <d v="2020-05-02T00:00:00"/>
    <s v="Rosa Okafor"/>
    <x v="8"/>
    <x v="10"/>
    <s v="Nagpur"/>
    <x v="1"/>
    <n v="4554"/>
    <n v="2212"/>
  </r>
  <r>
    <s v="KL-2018-5607523"/>
    <d v="2019-06-02T00:00:00"/>
    <s v="Samuel Santos"/>
    <x v="6"/>
    <x v="11"/>
    <s v="Copenhagen"/>
    <x v="0"/>
    <n v="3966"/>
    <n v="2285"/>
  </r>
  <r>
    <s v="KL-2018-5607195"/>
    <d v="2019-07-02T00:00:00"/>
    <s v="Lana Dejesus"/>
    <x v="8"/>
    <x v="12"/>
    <s v="New Delhi"/>
    <x v="1"/>
    <n v="4375"/>
    <n v="1976"/>
  </r>
  <r>
    <s v="KL-2018-5607392"/>
    <d v="2019-07-02T00:00:00"/>
    <s v="Tariq Eriksson"/>
    <x v="9"/>
    <x v="13"/>
    <s v="Hanover"/>
    <x v="2"/>
    <n v="1985"/>
    <n v="1484"/>
  </r>
  <r>
    <s v="KL-2018-5607463"/>
    <d v="2018-08-02T00:00:00"/>
    <s v="Isla Hickman"/>
    <x v="7"/>
    <x v="7"/>
    <s v="Villiers-sur-Marne"/>
    <x v="2"/>
    <n v="4341"/>
    <n v="3232"/>
  </r>
  <r>
    <s v="KL-2018-5607428"/>
    <d v="2019-08-02T00:00:00"/>
    <s v="Rashid Muller"/>
    <x v="7"/>
    <x v="7"/>
    <s v="Versailles"/>
    <x v="2"/>
    <n v="5241"/>
    <n v="2370"/>
  </r>
  <r>
    <s v="KL-2018-5607119"/>
    <d v="2020-10-02T00:00:00"/>
    <s v="Bruno Adkins"/>
    <x v="9"/>
    <x v="14"/>
    <s v="Bielefeld"/>
    <x v="2"/>
    <n v="4812"/>
    <n v="3164"/>
  </r>
  <r>
    <s v="KL-2018-5607076"/>
    <d v="2018-11-02T00:00:00"/>
    <s v="Viktor Noel"/>
    <x v="7"/>
    <x v="7"/>
    <s v="Paris"/>
    <x v="2"/>
    <n v="2544"/>
    <n v="1176"/>
  </r>
  <r>
    <s v="KL-2018-5607420"/>
    <d v="2018-12-02T00:00:00"/>
    <s v="Isla Petrov"/>
    <x v="5"/>
    <x v="5"/>
    <s v="Krakow"/>
    <x v="0"/>
    <n v="4546"/>
    <n v="2218"/>
  </r>
  <r>
    <s v="KL-2018-5607277"/>
    <d v="2019-02-03T00:00:00"/>
    <s v="Leon Nakamura"/>
    <x v="8"/>
    <x v="10"/>
    <s v="Pune"/>
    <x v="1"/>
    <n v="5630"/>
    <n v="3294"/>
  </r>
  <r>
    <s v="KL-2018-5607240"/>
    <d v="2020-03-03T00:00:00"/>
    <s v="Leon Barnes"/>
    <x v="3"/>
    <x v="3"/>
    <s v="Vienna"/>
    <x v="2"/>
    <n v="4324"/>
    <n v="2258"/>
  </r>
  <r>
    <s v="KL-2018-5607313"/>
    <d v="2018-04-03T00:00:00"/>
    <s v="Clara Petrov"/>
    <x v="9"/>
    <x v="15"/>
    <s v="Munich"/>
    <x v="2"/>
    <n v="2065"/>
    <n v="1540"/>
  </r>
  <r>
    <s v="KL-2018-5607268"/>
    <d v="2018-05-03T00:00:00"/>
    <s v="Georgia Weber"/>
    <x v="2"/>
    <x v="16"/>
    <s v="Brussels"/>
    <x v="2"/>
    <n v="3171"/>
    <n v="1750"/>
  </r>
  <r>
    <s v="KL-2018-5607182"/>
    <d v="2019-05-03T00:00:00"/>
    <s v="Andre Okafor"/>
    <x v="3"/>
    <x v="3"/>
    <s v="Vienna"/>
    <x v="2"/>
    <n v="1929"/>
    <n v="941"/>
  </r>
  <r>
    <s v="KL-2018-5607131"/>
    <d v="2018-06-03T00:00:00"/>
    <s v="Georgia Bowers"/>
    <x v="2"/>
    <x v="16"/>
    <s v="Brussels"/>
    <x v="2"/>
    <n v="3885"/>
    <n v="1786"/>
  </r>
  <r>
    <s v="KL-2018-5607444"/>
    <d v="2018-06-03T00:00:00"/>
    <s v="Lana Livingston"/>
    <x v="1"/>
    <x v="8"/>
    <s v="Madrid"/>
    <x v="1"/>
    <n v="2555"/>
    <n v="1220"/>
  </r>
  <r>
    <s v="KL-2018-5607136"/>
    <d v="2020-06-03T00:00:00"/>
    <s v="Ivan Okafor"/>
    <x v="0"/>
    <x v="17"/>
    <s v="Malmo"/>
    <x v="0"/>
    <n v="2248"/>
    <n v="1165"/>
  </r>
  <r>
    <s v="KL-2018-5607331"/>
    <d v="2019-08-03T00:00:00"/>
    <s v="Yuki Kim"/>
    <x v="5"/>
    <x v="5"/>
    <s v="Tarnow"/>
    <x v="0"/>
    <n v="3642"/>
    <n v="2031"/>
  </r>
  <r>
    <s v="KL-2018-5607364"/>
    <d v="2020-08-03T00:00:00"/>
    <s v="Evan Foster"/>
    <x v="4"/>
    <x v="4"/>
    <s v="Rotterdam"/>
    <x v="2"/>
    <n v="4851"/>
    <n v="3162"/>
  </r>
  <r>
    <s v="KL-2018-5607203"/>
    <d v="2018-09-03T00:00:00"/>
    <s v="Lani Larsson"/>
    <x v="2"/>
    <x v="2"/>
    <s v="Leuven"/>
    <x v="2"/>
    <n v="4614"/>
    <n v="2813"/>
  </r>
  <r>
    <s v="KL-2018-5607518"/>
    <d v="2019-09-03T00:00:00"/>
    <s v="Priya Kim"/>
    <x v="5"/>
    <x v="5"/>
    <s v="Tarnow"/>
    <x v="0"/>
    <n v="2596"/>
    <n v="1435"/>
  </r>
  <r>
    <s v="KL-2018-5607235"/>
    <d v="2018-11-03T00:00:00"/>
    <s v="Sasha Ramos"/>
    <x v="0"/>
    <x v="17"/>
    <s v="Malmo"/>
    <x v="0"/>
    <n v="3860"/>
    <n v="2012"/>
  </r>
  <r>
    <s v="KL-2018-5607440"/>
    <d v="2019-11-03T00:00:00"/>
    <s v="Zephr Hodges"/>
    <x v="1"/>
    <x v="18"/>
    <s v="Girona"/>
    <x v="1"/>
    <n v="5706"/>
    <n v="2651"/>
  </r>
  <r>
    <s v="KL-2018-5607511"/>
    <d v="2019-12-03T00:00:00"/>
    <s v="Omar Fischer"/>
    <x v="4"/>
    <x v="19"/>
    <s v="Haarlem"/>
    <x v="2"/>
    <n v="2977"/>
    <n v="2035"/>
  </r>
  <r>
    <s v="KL-2018-5607322"/>
    <d v="2020-12-03T00:00:00"/>
    <s v="Kiona Andersen"/>
    <x v="8"/>
    <x v="12"/>
    <s v="New Delhi"/>
    <x v="1"/>
    <n v="2934"/>
    <n v="1871"/>
  </r>
  <r>
    <s v="KL-2018-5607053"/>
    <d v="2020-02-04T00:00:00"/>
    <s v="Bruno Wagner"/>
    <x v="4"/>
    <x v="19"/>
    <s v="Amsterdam"/>
    <x v="2"/>
    <n v="3340"/>
    <n v="1567"/>
  </r>
  <r>
    <s v="KL-2018-5607218"/>
    <d v="2020-03-04T00:00:00"/>
    <s v="Omar Rivera"/>
    <x v="0"/>
    <x v="0"/>
    <s v="Solna"/>
    <x v="0"/>
    <n v="2039"/>
    <n v="1119"/>
  </r>
  <r>
    <s v="KL-2018-5607333"/>
    <d v="2018-04-04T00:00:00"/>
    <s v="Diana Moore"/>
    <x v="6"/>
    <x v="11"/>
    <s v="Frederiksberg"/>
    <x v="0"/>
    <n v="4920"/>
    <n v="2649"/>
  </r>
  <r>
    <s v="KL-2018-5607418"/>
    <d v="2019-05-04T00:00:00"/>
    <s v="Abbot Sullivan"/>
    <x v="9"/>
    <x v="14"/>
    <s v="Bielefeld"/>
    <x v="2"/>
    <n v="5214"/>
    <n v="3304"/>
  </r>
  <r>
    <s v="KL-2018-5607214"/>
    <d v="2018-07-04T00:00:00"/>
    <s v="Tobias Lindqvist"/>
    <x v="5"/>
    <x v="5"/>
    <s v="Tarnow"/>
    <x v="0"/>
    <n v="1836"/>
    <n v="1073"/>
  </r>
  <r>
    <s v="KL-2018-5607115"/>
    <d v="2019-07-04T00:00:00"/>
    <s v="Amara Sullivan"/>
    <x v="9"/>
    <x v="14"/>
    <s v="Cologne"/>
    <x v="2"/>
    <n v="3497"/>
    <n v="2360"/>
  </r>
  <r>
    <s v="KL-2018-5607398"/>
    <d v="2019-08-04T00:00:00"/>
    <s v="Carlos Nakamura"/>
    <x v="0"/>
    <x v="0"/>
    <s v="Solna"/>
    <x v="0"/>
    <n v="4315"/>
    <n v="3099"/>
  </r>
  <r>
    <s v="KL-2018-5607290"/>
    <d v="2019-09-04T00:00:00"/>
    <s v="Kiona Muller"/>
    <x v="8"/>
    <x v="20"/>
    <s v="Gaya"/>
    <x v="1"/>
    <n v="4097"/>
    <n v="2433"/>
  </r>
  <r>
    <s v="KL-2018-5607380"/>
    <d v="2019-10-04T00:00:00"/>
    <s v="Wendy Sullivan"/>
    <x v="8"/>
    <x v="10"/>
    <s v="Mumbai"/>
    <x v="1"/>
    <n v="4558"/>
    <n v="2999"/>
  </r>
  <r>
    <s v="KL-2018-5607221"/>
    <d v="2019-11-04T00:00:00"/>
    <s v="Raymond Johansson"/>
    <x v="5"/>
    <x v="21"/>
    <s v="Radom"/>
    <x v="0"/>
    <n v="5665"/>
    <n v="3164"/>
  </r>
  <r>
    <s v="KL-2018-5607372"/>
    <d v="2019-12-04T00:00:00"/>
    <s v="Mei Foster"/>
    <x v="5"/>
    <x v="5"/>
    <s v="Tarnow"/>
    <x v="0"/>
    <n v="5400"/>
    <n v="2588"/>
  </r>
  <r>
    <s v="KL-2018-5607374"/>
    <d v="2019-12-04T00:00:00"/>
    <s v="Patrick Barrett"/>
    <x v="6"/>
    <x v="11"/>
    <s v="Copenhagen"/>
    <x v="0"/>
    <n v="2811"/>
    <n v="1544"/>
  </r>
  <r>
    <s v="KL-2018-5607114"/>
    <d v="2020-12-04T00:00:00"/>
    <s v="Patrick Chen"/>
    <x v="0"/>
    <x v="17"/>
    <s v="Helsingborg"/>
    <x v="0"/>
    <n v="5068"/>
    <n v="3536"/>
  </r>
  <r>
    <s v="KL-2018-5607248"/>
    <d v="2019-01-05T00:00:00"/>
    <s v="Viktor Patel"/>
    <x v="7"/>
    <x v="7"/>
    <s v="Villiers-sur-Marne"/>
    <x v="2"/>
    <n v="4186"/>
    <n v="2713"/>
  </r>
  <r>
    <s v="KL-2018-5607177"/>
    <d v="2020-01-05T00:00:00"/>
    <s v="Abbot Hassan"/>
    <x v="8"/>
    <x v="20"/>
    <s v="Patna"/>
    <x v="1"/>
    <n v="5225"/>
    <n v="2494"/>
  </r>
  <r>
    <s v="KL-2018-5607185"/>
    <d v="2018-03-05T00:00:00"/>
    <s v="Abbot Osei"/>
    <x v="2"/>
    <x v="16"/>
    <s v="Brussels"/>
    <x v="2"/>
    <n v="5516"/>
    <n v="3661"/>
  </r>
  <r>
    <s v="KL-2018-5607513"/>
    <d v="2019-03-05T00:00:00"/>
    <s v="Julia Kane"/>
    <x v="0"/>
    <x v="0"/>
    <s v="Solna"/>
    <x v="0"/>
    <n v="2221"/>
    <n v="1085"/>
  </r>
  <r>
    <s v="KL-2018-5607157"/>
    <d v="2018-04-05T00:00:00"/>
    <s v="Amara Horton"/>
    <x v="8"/>
    <x v="12"/>
    <s v="New Delhi"/>
    <x v="1"/>
    <n v="5028"/>
    <n v="2482"/>
  </r>
  <r>
    <s v="KL-2018-5607486"/>
    <d v="2020-04-05T00:00:00"/>
    <s v="Zephr Ahmed"/>
    <x v="0"/>
    <x v="17"/>
    <s v="Malmo"/>
    <x v="0"/>
    <n v="4742"/>
    <n v="3399"/>
  </r>
  <r>
    <s v="KL-2018-5607150"/>
    <d v="2019-05-05T00:00:00"/>
    <s v="Diana Tanaka"/>
    <x v="1"/>
    <x v="18"/>
    <s v="Barcelona"/>
    <x v="1"/>
    <n v="4106"/>
    <n v="2765"/>
  </r>
  <r>
    <s v="KL-2018-5607160"/>
    <d v="2019-06-05T00:00:00"/>
    <s v="Mei Barnes"/>
    <x v="3"/>
    <x v="3"/>
    <s v="Vienna"/>
    <x v="2"/>
    <n v="5977"/>
    <n v="2972"/>
  </r>
  <r>
    <s v="KL-2018-5607496"/>
    <d v="2018-07-05T00:00:00"/>
    <s v="Priya Adkins"/>
    <x v="2"/>
    <x v="2"/>
    <s v="Leuven"/>
    <x v="2"/>
    <n v="3255"/>
    <n v="2301"/>
  </r>
  <r>
    <s v="KL-2018-5607357"/>
    <d v="2019-07-05T00:00:00"/>
    <s v="Felix Chen"/>
    <x v="4"/>
    <x v="19"/>
    <s v="Amsterdam"/>
    <x v="2"/>
    <n v="2869"/>
    <n v="1665"/>
  </r>
  <r>
    <s v="KL-2018-5607421"/>
    <d v="2019-07-05T00:00:00"/>
    <s v="Rosa Neal"/>
    <x v="3"/>
    <x v="3"/>
    <s v="Vienna"/>
    <x v="2"/>
    <n v="3728"/>
    <n v="2263"/>
  </r>
  <r>
    <s v="KL-2018-5607207"/>
    <d v="2018-08-05T00:00:00"/>
    <s v="Guinevere Costa"/>
    <x v="0"/>
    <x v="17"/>
    <s v="Malmo"/>
    <x v="0"/>
    <n v="4742"/>
    <n v="3372"/>
  </r>
  <r>
    <s v="KL-2018-5607282"/>
    <d v="2019-09-05T00:00:00"/>
    <s v="Andre Rivera"/>
    <x v="5"/>
    <x v="5"/>
    <s v="Tarnow"/>
    <x v="0"/>
    <n v="5390"/>
    <n v="3744"/>
  </r>
  <r>
    <s v="KL-2018-5607347"/>
    <d v="2019-09-05T00:00:00"/>
    <s v="Georgia Fischer"/>
    <x v="1"/>
    <x v="8"/>
    <s v="Madrid"/>
    <x v="1"/>
    <n v="5928"/>
    <n v="3257"/>
  </r>
  <r>
    <s v="KL-2018-5607441"/>
    <d v="2019-09-05T00:00:00"/>
    <s v="Ingrid Dejesus"/>
    <x v="3"/>
    <x v="3"/>
    <s v="Vienna"/>
    <x v="2"/>
    <n v="3546"/>
    <n v="1696"/>
  </r>
  <r>
    <s v="KL-2018-5607256"/>
    <d v="2018-10-05T00:00:00"/>
    <s v="Hedda Weber"/>
    <x v="6"/>
    <x v="6"/>
    <s v="Esbjerg"/>
    <x v="0"/>
    <n v="4118"/>
    <n v="2678"/>
  </r>
  <r>
    <s v="KL-2018-5607084"/>
    <d v="2019-10-05T00:00:00"/>
    <s v="Clara Lindqvist"/>
    <x v="5"/>
    <x v="21"/>
    <s v="Radom"/>
    <x v="0"/>
    <n v="3057"/>
    <n v="1609"/>
  </r>
  <r>
    <s v="KL-2018-5607148"/>
    <d v="2020-11-05T00:00:00"/>
    <s v="Marcus Bowers"/>
    <x v="8"/>
    <x v="12"/>
    <s v="New Delhi"/>
    <x v="1"/>
    <n v="2717"/>
    <n v="1586"/>
  </r>
  <r>
    <s v="KL-2018-5607216"/>
    <d v="2019-12-05T00:00:00"/>
    <s v="Evan Hodges"/>
    <x v="5"/>
    <x v="21"/>
    <s v="Warsaw"/>
    <x v="0"/>
    <n v="3529"/>
    <n v="2337"/>
  </r>
  <r>
    <s v="KL-2018-5607404"/>
    <d v="2019-12-05T00:00:00"/>
    <s v="Wendy Costa"/>
    <x v="6"/>
    <x v="6"/>
    <s v="Esbjerg"/>
    <x v="0"/>
    <n v="3375"/>
    <n v="1906"/>
  </r>
  <r>
    <s v="KL-2018-5607396"/>
    <d v="2018-01-06T00:00:00"/>
    <s v="Rashid Ramos"/>
    <x v="9"/>
    <x v="15"/>
    <s v="Nuremberg"/>
    <x v="2"/>
    <n v="4434"/>
    <n v="3126"/>
  </r>
  <r>
    <s v="KL-2018-5607225"/>
    <d v="2019-01-06T00:00:00"/>
    <s v="Alicia Ahmed"/>
    <x v="6"/>
    <x v="6"/>
    <s v="Esbjerg"/>
    <x v="0"/>
    <n v="4865"/>
    <n v="2720"/>
  </r>
  <r>
    <s v="KL-2018-5607450"/>
    <d v="2020-01-06T00:00:00"/>
    <s v="Samuel Dubois"/>
    <x v="4"/>
    <x v="4"/>
    <s v="The Hague"/>
    <x v="2"/>
    <n v="4681"/>
    <n v="2486"/>
  </r>
  <r>
    <s v="KL-2018-5607334"/>
    <d v="2019-02-06T00:00:00"/>
    <s v="Carlos Moore"/>
    <x v="2"/>
    <x v="2"/>
    <s v="Mechelen"/>
    <x v="2"/>
    <n v="4265"/>
    <n v="2248"/>
  </r>
  <r>
    <s v="KL-2018-5607501"/>
    <d v="2020-02-06T00:00:00"/>
    <s v="Sasha Ferreira"/>
    <x v="0"/>
    <x v="17"/>
    <s v="Helsingborg"/>
    <x v="0"/>
    <n v="2385"/>
    <n v="1417"/>
  </r>
  <r>
    <s v="KL-2018-5607294"/>
    <d v="2019-05-06T00:00:00"/>
    <s v="Guinevere Horton"/>
    <x v="5"/>
    <x v="21"/>
    <s v="Warsaw"/>
    <x v="0"/>
    <n v="1930"/>
    <n v="926"/>
  </r>
  <r>
    <s v="KL-2018-5607288"/>
    <d v="2020-09-06T00:00:00"/>
    <s v="Elsa Tanaka"/>
    <x v="7"/>
    <x v="7"/>
    <s v="Paris"/>
    <x v="2"/>
    <n v="5867"/>
    <n v="3242"/>
  </r>
  <r>
    <s v="KL-2018-5607307"/>
    <d v="2020-09-06T00:00:00"/>
    <s v="Zephr Kim"/>
    <x v="0"/>
    <x v="17"/>
    <s v="Helsingborg"/>
    <x v="0"/>
    <n v="5999"/>
    <n v="4342"/>
  </r>
  <r>
    <s v="KL-2018-5607361"/>
    <d v="2018-10-06T00:00:00"/>
    <s v="Felix Okafor"/>
    <x v="0"/>
    <x v="0"/>
    <s v="Solna"/>
    <x v="0"/>
    <n v="4073"/>
    <n v="2049"/>
  </r>
  <r>
    <s v="KL-2018-5607438"/>
    <d v="2019-10-06T00:00:00"/>
    <s v="Omar Neal"/>
    <x v="5"/>
    <x v="5"/>
    <s v="Krakow"/>
    <x v="0"/>
    <n v="5202"/>
    <n v="2822"/>
  </r>
  <r>
    <s v="KL-2018-5607147"/>
    <d v="2020-11-06T00:00:00"/>
    <s v="Ivan Mckenzie"/>
    <x v="9"/>
    <x v="14"/>
    <s v="Cologne"/>
    <x v="2"/>
    <n v="4284"/>
    <n v="3128"/>
  </r>
  <r>
    <s v="KL-2018-5607478"/>
    <d v="2019-12-06T00:00:00"/>
    <s v="Viktor Andersen"/>
    <x v="0"/>
    <x v="0"/>
    <s v="Stockholm"/>
    <x v="0"/>
    <n v="4671"/>
    <n v="3248"/>
  </r>
  <r>
    <s v="KL-2018-5607485"/>
    <d v="2019-12-06T00:00:00"/>
    <s v="Omar Barnes"/>
    <x v="2"/>
    <x v="16"/>
    <s v="Brussels"/>
    <x v="2"/>
    <n v="1806"/>
    <n v="905"/>
  </r>
  <r>
    <s v="KL-2018-5607067"/>
    <d v="2020-12-06T00:00:00"/>
    <s v="Amara Barnes"/>
    <x v="1"/>
    <x v="8"/>
    <s v="Madrid"/>
    <x v="1"/>
    <n v="3455"/>
    <n v="1830"/>
  </r>
  <r>
    <s v="KL-2018-5607367"/>
    <d v="2020-01-07T00:00:00"/>
    <s v="Alicia Dubois"/>
    <x v="0"/>
    <x v="0"/>
    <s v="Stockholm"/>
    <x v="0"/>
    <n v="3533"/>
    <n v="2286"/>
  </r>
  <r>
    <s v="KL-2018-5607325"/>
    <d v="2019-04-07T00:00:00"/>
    <s v="Felix Bergmann"/>
    <x v="6"/>
    <x v="6"/>
    <s v="Esbjerg"/>
    <x v="0"/>
    <n v="4880"/>
    <n v="3612"/>
  </r>
  <r>
    <s v="KL-2018-5607497"/>
    <d v="2019-04-07T00:00:00"/>
    <s v="Hugo Foster"/>
    <x v="8"/>
    <x v="9"/>
    <s v="Bangalore"/>
    <x v="1"/>
    <n v="1572"/>
    <n v="930"/>
  </r>
  <r>
    <s v="KL-2018-5607479"/>
    <d v="2020-05-07T00:00:00"/>
    <s v="Viktor Eriksson"/>
    <x v="4"/>
    <x v="19"/>
    <s v="Haarlem"/>
    <x v="2"/>
    <n v="3948"/>
    <n v="1870"/>
  </r>
  <r>
    <s v="KL-2018-5607190"/>
    <d v="2019-06-07T00:00:00"/>
    <s v="Leon Hickman"/>
    <x v="4"/>
    <x v="19"/>
    <s v="Amsterdam"/>
    <x v="2"/>
    <n v="2199"/>
    <n v="1051"/>
  </r>
  <r>
    <s v="KL-2018-5607156"/>
    <d v="2020-06-07T00:00:00"/>
    <s v="Aristotle Nguyen"/>
    <x v="9"/>
    <x v="14"/>
    <s v="Bielefeld"/>
    <x v="2"/>
    <n v="3953"/>
    <n v="2850"/>
  </r>
  <r>
    <s v="KL-2018-5607344"/>
    <d v="2020-06-07T00:00:00"/>
    <s v="Patrick Rivera"/>
    <x v="0"/>
    <x v="0"/>
    <s v="Stockholm"/>
    <x v="0"/>
    <n v="3382"/>
    <n v="1736"/>
  </r>
  <r>
    <s v="KL-2018-5607514"/>
    <d v="2020-06-07T00:00:00"/>
    <s v="Leila Costa"/>
    <x v="2"/>
    <x v="16"/>
    <s v="Brussels"/>
    <x v="2"/>
    <n v="4640"/>
    <n v="2094"/>
  </r>
  <r>
    <s v="KL-2018-5607094"/>
    <d v="2018-08-07T00:00:00"/>
    <s v="Rashid Costa"/>
    <x v="1"/>
    <x v="1"/>
    <s v="Alicante"/>
    <x v="1"/>
    <n v="5743"/>
    <n v="3384"/>
  </r>
  <r>
    <s v="KL-2018-5607236"/>
    <d v="2018-09-07T00:00:00"/>
    <s v="Abbot Sullivan"/>
    <x v="2"/>
    <x v="16"/>
    <s v="Brussels"/>
    <x v="2"/>
    <n v="2408"/>
    <n v="1688"/>
  </r>
  <r>
    <s v="KL-2018-5607260"/>
    <d v="2020-09-07T00:00:00"/>
    <s v="Elsa Andersen"/>
    <x v="2"/>
    <x v="2"/>
    <s v="Leuven"/>
    <x v="2"/>
    <n v="4097"/>
    <n v="2633"/>
  </r>
  <r>
    <s v="KL-2018-5607330"/>
    <d v="2020-09-07T00:00:00"/>
    <s v="Guinevere Santos"/>
    <x v="0"/>
    <x v="0"/>
    <s v="Solna"/>
    <x v="0"/>
    <n v="3460"/>
    <n v="2130"/>
  </r>
  <r>
    <s v="KL-2018-5607042"/>
    <d v="2019-10-07T00:00:00"/>
    <s v="Ria Ferreira"/>
    <x v="4"/>
    <x v="4"/>
    <s v="The Hague"/>
    <x v="2"/>
    <n v="2670"/>
    <n v="1413"/>
  </r>
  <r>
    <s v="KL-2018-5607430"/>
    <d v="2020-10-07T00:00:00"/>
    <s v="Rashid Porter"/>
    <x v="5"/>
    <x v="21"/>
    <s v="Warsaw"/>
    <x v="0"/>
    <n v="1552"/>
    <n v="1132"/>
  </r>
  <r>
    <s v="KL-2018-5607258"/>
    <d v="2020-11-07T00:00:00"/>
    <s v="Kiona Neal"/>
    <x v="1"/>
    <x v="1"/>
    <s v="Gandia"/>
    <x v="1"/>
    <n v="5547"/>
    <n v="2539"/>
  </r>
  <r>
    <s v="KL-2018-5607526"/>
    <d v="2020-12-07T00:00:00"/>
    <s v="Dahlia Petrov"/>
    <x v="2"/>
    <x v="16"/>
    <s v="Brussels"/>
    <x v="2"/>
    <n v="1822"/>
    <n v="1119"/>
  </r>
  <r>
    <s v="KL-2018-5607469"/>
    <d v="2020-02-08T00:00:00"/>
    <s v="Georgia Ramos"/>
    <x v="9"/>
    <x v="15"/>
    <s v="Munich"/>
    <x v="2"/>
    <n v="4268"/>
    <n v="2681"/>
  </r>
  <r>
    <s v="KL-2018-5607169"/>
    <d v="2019-04-08T00:00:00"/>
    <s v="Hugo Ramos"/>
    <x v="2"/>
    <x v="16"/>
    <s v="Brussels"/>
    <x v="2"/>
    <n v="4732"/>
    <n v="2149"/>
  </r>
  <r>
    <s v="KL-2018-5607103"/>
    <d v="2020-04-08T00:00:00"/>
    <s v="Rosa Kane"/>
    <x v="4"/>
    <x v="19"/>
    <s v="Amsterdam"/>
    <x v="2"/>
    <n v="4727"/>
    <n v="2966"/>
  </r>
  <r>
    <s v="KL-2018-5607305"/>
    <d v="2018-05-08T00:00:00"/>
    <s v="Nina Neal"/>
    <x v="4"/>
    <x v="4"/>
    <s v="Rotterdam"/>
    <x v="2"/>
    <n v="4821"/>
    <n v="3161"/>
  </r>
  <r>
    <s v="KL-2018-5607449"/>
    <d v="2020-05-08T00:00:00"/>
    <s v="Dahlia Ferreira"/>
    <x v="5"/>
    <x v="21"/>
    <s v="Warsaw"/>
    <x v="0"/>
    <n v="4633"/>
    <n v="3171"/>
  </r>
  <r>
    <s v="KL-2018-5607211"/>
    <d v="2020-07-08T00:00:00"/>
    <s v="Hugo Fischer"/>
    <x v="0"/>
    <x v="17"/>
    <s v="Helsingborg"/>
    <x v="0"/>
    <n v="2736"/>
    <n v="1592"/>
  </r>
  <r>
    <s v="KL-2018-5607072"/>
    <d v="2018-08-08T00:00:00"/>
    <s v="Ivan Nakamura"/>
    <x v="6"/>
    <x v="6"/>
    <s v="Odense"/>
    <x v="0"/>
    <n v="3225"/>
    <n v="2145"/>
  </r>
  <r>
    <s v="KL-2018-5607299"/>
    <d v="2018-08-08T00:00:00"/>
    <s v="Carlos Patel"/>
    <x v="4"/>
    <x v="4"/>
    <s v="Rotterdam"/>
    <x v="2"/>
    <n v="5630"/>
    <n v="3323"/>
  </r>
  <r>
    <s v="KL-2018-5607172"/>
    <d v="2020-08-08T00:00:00"/>
    <s v="Alicia Muller"/>
    <x v="2"/>
    <x v="2"/>
    <s v="Leuven"/>
    <x v="2"/>
    <n v="1871"/>
    <n v="1373"/>
  </r>
  <r>
    <s v="KL-2018-5607293"/>
    <d v="2020-09-08T00:00:00"/>
    <s v="Ria Porter"/>
    <x v="5"/>
    <x v="5"/>
    <s v="Tarnow"/>
    <x v="0"/>
    <n v="2624"/>
    <n v="1266"/>
  </r>
  <r>
    <s v="KL-2018-5607467"/>
    <d v="2020-09-08T00:00:00"/>
    <s v="Diana Ferreira"/>
    <x v="1"/>
    <x v="1"/>
    <s v="Valencia"/>
    <x v="1"/>
    <n v="2103"/>
    <n v="1450"/>
  </r>
  <r>
    <s v="KL-2018-5607165"/>
    <d v="2018-10-08T00:00:00"/>
    <s v="Leila Barrett"/>
    <x v="3"/>
    <x v="3"/>
    <s v="Vienna"/>
    <x v="2"/>
    <n v="1773"/>
    <n v="1106"/>
  </r>
  <r>
    <s v="KL-2018-5607086"/>
    <d v="2019-11-08T00:00:00"/>
    <s v="Tobias Okafor"/>
    <x v="9"/>
    <x v="15"/>
    <s v="Nuremberg"/>
    <x v="2"/>
    <n v="5654"/>
    <n v="3068"/>
  </r>
  <r>
    <s v="KL-2018-5607295"/>
    <d v="2019-11-08T00:00:00"/>
    <s v="Evan Osei"/>
    <x v="9"/>
    <x v="15"/>
    <s v="Munich"/>
    <x v="2"/>
    <n v="1542"/>
    <n v="1140"/>
  </r>
  <r>
    <s v="KL-2018-5607516"/>
    <d v="2018-01-09T00:00:00"/>
    <s v="Leila Ramos"/>
    <x v="1"/>
    <x v="1"/>
    <s v="Alicante"/>
    <x v="1"/>
    <n v="4320"/>
    <n v="2348"/>
  </r>
  <r>
    <s v="KL-2018-5607401"/>
    <d v="2020-01-09T00:00:00"/>
    <s v="Ingrid Hodges"/>
    <x v="7"/>
    <x v="7"/>
    <s v="Villiers-sur-Marne"/>
    <x v="2"/>
    <n v="4746"/>
    <n v="3026"/>
  </r>
  <r>
    <s v="KL-2018-5607493"/>
    <d v="2020-01-09T00:00:00"/>
    <s v="Evan Porter"/>
    <x v="8"/>
    <x v="12"/>
    <s v="New Delhi"/>
    <x v="1"/>
    <n v="5637"/>
    <n v="3207"/>
  </r>
  <r>
    <s v="KL-2018-5607376"/>
    <d v="2019-02-09T00:00:00"/>
    <s v="Bruno Gomez"/>
    <x v="2"/>
    <x v="16"/>
    <s v="Brussels"/>
    <x v="2"/>
    <n v="3259"/>
    <n v="1667"/>
  </r>
  <r>
    <s v="KL-2018-5607346"/>
    <d v="2018-03-09T00:00:00"/>
    <s v="Stella Okafor"/>
    <x v="3"/>
    <x v="3"/>
    <s v="Vienna"/>
    <x v="2"/>
    <n v="4762"/>
    <n v="3469"/>
  </r>
  <r>
    <s v="KL-2018-5607206"/>
    <d v="2020-04-09T00:00:00"/>
    <s v="Lana Okafor"/>
    <x v="6"/>
    <x v="6"/>
    <s v="Odense"/>
    <x v="0"/>
    <n v="2221"/>
    <n v="1290"/>
  </r>
  <r>
    <s v="KL-2018-5607377"/>
    <d v="2018-05-09T00:00:00"/>
    <s v="Diana Barrett"/>
    <x v="5"/>
    <x v="21"/>
    <s v="Radom"/>
    <x v="0"/>
    <n v="4170"/>
    <n v="2123"/>
  </r>
  <r>
    <s v="KL-2018-5607274"/>
    <d v="2019-05-09T00:00:00"/>
    <s v="Ria Gomez"/>
    <x v="7"/>
    <x v="7"/>
    <s v="Villiers-sur-Marne"/>
    <x v="2"/>
    <n v="3804"/>
    <n v="2276"/>
  </r>
  <r>
    <s v="KL-2018-5607453"/>
    <d v="2019-05-09T00:00:00"/>
    <s v="Marcus Dubois"/>
    <x v="3"/>
    <x v="3"/>
    <s v="Vienna"/>
    <x v="2"/>
    <n v="4406"/>
    <n v="3218"/>
  </r>
  <r>
    <s v="KL-2018-5607433"/>
    <d v="2020-05-09T00:00:00"/>
    <s v="Isla Horton"/>
    <x v="6"/>
    <x v="6"/>
    <s v="Esbjerg"/>
    <x v="0"/>
    <n v="1859"/>
    <n v="1350"/>
  </r>
  <r>
    <s v="KL-2018-5607466"/>
    <d v="2020-05-09T00:00:00"/>
    <s v="Georgia Andersen"/>
    <x v="4"/>
    <x v="4"/>
    <s v="The Hague"/>
    <x v="2"/>
    <n v="5973"/>
    <n v="3360"/>
  </r>
  <r>
    <s v="KL-2018-5607309"/>
    <d v="2018-06-09T00:00:00"/>
    <s v="Diana Neal"/>
    <x v="3"/>
    <x v="3"/>
    <s v="Vienna"/>
    <x v="2"/>
    <n v="2847"/>
    <n v="1561"/>
  </r>
  <r>
    <s v="KL-2018-5607403"/>
    <d v="2018-06-09T00:00:00"/>
    <s v="Raymond Gomez"/>
    <x v="1"/>
    <x v="8"/>
    <s v="Madrid"/>
    <x v="1"/>
    <n v="1576"/>
    <n v="713"/>
  </r>
  <r>
    <s v="KL-2018-5607098"/>
    <d v="2019-08-09T00:00:00"/>
    <s v="Guinevere Chen"/>
    <x v="7"/>
    <x v="22"/>
    <s v="Marseille"/>
    <x v="2"/>
    <n v="2633"/>
    <n v="1303"/>
  </r>
  <r>
    <s v="KL-2018-5607223"/>
    <d v="2018-10-09T00:00:00"/>
    <s v="Zephr Livingston"/>
    <x v="8"/>
    <x v="10"/>
    <s v="Nagpur"/>
    <x v="1"/>
    <n v="5921"/>
    <n v="4147"/>
  </r>
  <r>
    <s v="KL-2018-5607108"/>
    <d v="2018-11-09T00:00:00"/>
    <s v="Guinevere Mckenzie"/>
    <x v="4"/>
    <x v="19"/>
    <s v="Amsterdam"/>
    <x v="2"/>
    <n v="5309"/>
    <n v="3503"/>
  </r>
  <r>
    <s v="KL-2018-5607416"/>
    <d v="2018-11-09T00:00:00"/>
    <s v="Marcus Hodges"/>
    <x v="8"/>
    <x v="10"/>
    <s v="Nagpur"/>
    <x v="1"/>
    <n v="3164"/>
    <n v="2348"/>
  </r>
  <r>
    <s v="KL-2018-5607121"/>
    <d v="2019-11-09T00:00:00"/>
    <s v="Nadia Santos"/>
    <x v="4"/>
    <x v="4"/>
    <s v="The Hague"/>
    <x v="2"/>
    <n v="3559"/>
    <n v="1847"/>
  </r>
  <r>
    <s v="KL-2018-5607481"/>
    <d v="2018-12-09T00:00:00"/>
    <s v="Ria Porter"/>
    <x v="6"/>
    <x v="11"/>
    <s v="Frederiksberg"/>
    <x v="0"/>
    <n v="2141"/>
    <n v="1598"/>
  </r>
  <r>
    <s v="KL-2018-5607124"/>
    <d v="2020-01-10T00:00:00"/>
    <s v="Stella Muller"/>
    <x v="3"/>
    <x v="3"/>
    <s v="Vienna"/>
    <x v="2"/>
    <n v="1872"/>
    <n v="1389"/>
  </r>
  <r>
    <s v="KL-2018-5607522"/>
    <d v="2018-02-10T00:00:00"/>
    <s v="Abbot Santos"/>
    <x v="9"/>
    <x v="14"/>
    <s v="Cologne"/>
    <x v="2"/>
    <n v="4615"/>
    <n v="2247"/>
  </r>
  <r>
    <s v="KL-2018-5607133"/>
    <d v="2019-02-10T00:00:00"/>
    <s v="Clara Neal"/>
    <x v="5"/>
    <x v="21"/>
    <s v="Warsaw"/>
    <x v="0"/>
    <n v="3676"/>
    <n v="2565"/>
  </r>
  <r>
    <s v="KL-2018-5607432"/>
    <d v="2020-02-10T00:00:00"/>
    <s v="Ivan Ramos"/>
    <x v="8"/>
    <x v="10"/>
    <s v="Mumbai"/>
    <x v="1"/>
    <n v="5840"/>
    <n v="4350"/>
  </r>
  <r>
    <s v="KL-2018-5607468"/>
    <d v="2018-03-10T00:00:00"/>
    <s v="Priya Adkins"/>
    <x v="7"/>
    <x v="22"/>
    <s v="Marseille"/>
    <x v="2"/>
    <n v="2107"/>
    <n v="1164"/>
  </r>
  <r>
    <s v="KL-2018-5607399"/>
    <d v="2018-04-10T00:00:00"/>
    <s v="Sopoline Barrett"/>
    <x v="4"/>
    <x v="19"/>
    <s v="Amsterdam"/>
    <x v="2"/>
    <n v="2794"/>
    <n v="1627"/>
  </r>
  <r>
    <s v="KL-2018-5607113"/>
    <d v="2020-05-10T00:00:00"/>
    <s v="Isla Barrett"/>
    <x v="2"/>
    <x v="16"/>
    <s v="Brussels"/>
    <x v="2"/>
    <n v="2753"/>
    <n v="1598"/>
  </r>
  <r>
    <s v="KL-2018-5607482"/>
    <d v="2020-06-10T00:00:00"/>
    <s v="Dahlia Nguyen"/>
    <x v="6"/>
    <x v="6"/>
    <s v="Odense"/>
    <x v="0"/>
    <n v="2048"/>
    <n v="975"/>
  </r>
  <r>
    <s v="KL-2018-5607355"/>
    <d v="2018-07-10T00:00:00"/>
    <s v="Hana Lindqvist"/>
    <x v="7"/>
    <x v="22"/>
    <s v="Marseille"/>
    <x v="2"/>
    <n v="3890"/>
    <n v="2233"/>
  </r>
  <r>
    <s v="KL-2018-5607395"/>
    <d v="2018-07-10T00:00:00"/>
    <s v="Fatima Russo"/>
    <x v="8"/>
    <x v="12"/>
    <s v="New Delhi"/>
    <x v="1"/>
    <n v="5498"/>
    <n v="3013"/>
  </r>
  <r>
    <s v="KL-2018-5607261"/>
    <d v="2020-07-10T00:00:00"/>
    <s v="Mei Eriksson"/>
    <x v="5"/>
    <x v="5"/>
    <s v="Krakow"/>
    <x v="0"/>
    <n v="2990"/>
    <n v="2034"/>
  </r>
  <r>
    <s v="KL-2018-5607327"/>
    <d v="2020-07-10T00:00:00"/>
    <s v="Leon Hodges"/>
    <x v="5"/>
    <x v="21"/>
    <s v="Warsaw"/>
    <x v="0"/>
    <n v="3699"/>
    <n v="2083"/>
  </r>
  <r>
    <s v="KL-2018-5607049"/>
    <d v="2018-11-10T00:00:00"/>
    <s v="Leon Kane"/>
    <x v="5"/>
    <x v="21"/>
    <s v="Radom"/>
    <x v="0"/>
    <n v="5502"/>
    <n v="2508"/>
  </r>
  <r>
    <s v="KL-2018-5607471"/>
    <d v="2019-11-10T00:00:00"/>
    <s v="Ria Porter"/>
    <x v="2"/>
    <x v="16"/>
    <s v="Brussels"/>
    <x v="2"/>
    <n v="3936"/>
    <n v="2051"/>
  </r>
  <r>
    <s v="KL-2018-5607487"/>
    <d v="2019-11-10T00:00:00"/>
    <s v="Alicia Sullivan"/>
    <x v="3"/>
    <x v="3"/>
    <s v="Vienna"/>
    <x v="2"/>
    <n v="4551"/>
    <n v="2075"/>
  </r>
  <r>
    <s v="KL-2018-5607464"/>
    <d v="2018-12-10T00:00:00"/>
    <s v="Leila Hodges"/>
    <x v="7"/>
    <x v="22"/>
    <s v="Marseille"/>
    <x v="2"/>
    <n v="3672"/>
    <n v="1883"/>
  </r>
  <r>
    <s v="KL-2018-5607353"/>
    <d v="2018-01-11T00:00:00"/>
    <s v="Felix Weber"/>
    <x v="7"/>
    <x v="22"/>
    <s v="Marseille"/>
    <x v="2"/>
    <n v="2585"/>
    <n v="1230"/>
  </r>
  <r>
    <s v="KL-2018-5607037"/>
    <d v="2020-01-11T00:00:00"/>
    <s v="Diana Porter"/>
    <x v="9"/>
    <x v="13"/>
    <s v="Bremen"/>
    <x v="2"/>
    <n v="3366"/>
    <n v="2295"/>
  </r>
  <r>
    <s v="KL-2018-5607178"/>
    <d v="2019-03-11T00:00:00"/>
    <s v="Patrick Nguyen"/>
    <x v="0"/>
    <x v="0"/>
    <s v="Stockholm"/>
    <x v="0"/>
    <n v="4232"/>
    <n v="2213"/>
  </r>
  <r>
    <s v="KL-2018-5607413"/>
    <d v="2020-05-11T00:00:00"/>
    <s v="Leon Dubois"/>
    <x v="6"/>
    <x v="6"/>
    <s v="Esbjerg"/>
    <x v="0"/>
    <n v="1636"/>
    <n v="1024"/>
  </r>
  <r>
    <s v="KL-2018-5607350"/>
    <d v="2020-07-11T00:00:00"/>
    <s v="Isla Moore"/>
    <x v="7"/>
    <x v="22"/>
    <s v="Nice"/>
    <x v="2"/>
    <n v="3021"/>
    <n v="1975"/>
  </r>
  <r>
    <s v="KL-2018-5607170"/>
    <d v="2018-09-11T00:00:00"/>
    <s v="Mei Schneider"/>
    <x v="8"/>
    <x v="9"/>
    <s v="Mysore"/>
    <x v="1"/>
    <n v="2387"/>
    <n v="1557"/>
  </r>
  <r>
    <s v="KL-2018-5607494"/>
    <d v="2018-09-11T00:00:00"/>
    <s v="Hugo Adkins"/>
    <x v="1"/>
    <x v="18"/>
    <s v="Girona"/>
    <x v="1"/>
    <n v="5154"/>
    <n v="2593"/>
  </r>
  <r>
    <s v="KL-2018-5607304"/>
    <d v="2019-09-11T00:00:00"/>
    <s v="Andre Ramos"/>
    <x v="0"/>
    <x v="0"/>
    <s v="Solna"/>
    <x v="0"/>
    <n v="4445"/>
    <n v="2924"/>
  </r>
  <r>
    <s v="KL-2018-5607229"/>
    <d v="2020-09-11T00:00:00"/>
    <s v="Leon Nakamura"/>
    <x v="9"/>
    <x v="15"/>
    <s v="Augsburg"/>
    <x v="2"/>
    <n v="2521"/>
    <n v="1350"/>
  </r>
  <r>
    <s v="KL-2018-5607044"/>
    <d v="2018-10-11T00:00:00"/>
    <s v="Tariq Larsson"/>
    <x v="9"/>
    <x v="13"/>
    <s v="Langen"/>
    <x v="2"/>
    <n v="2752"/>
    <n v="1756"/>
  </r>
  <r>
    <s v="KL-2018-5607152"/>
    <d v="2019-11-11T00:00:00"/>
    <s v="Aristotle Weber"/>
    <x v="9"/>
    <x v="15"/>
    <s v="Nuremberg"/>
    <x v="2"/>
    <n v="1625"/>
    <n v="1083"/>
  </r>
  <r>
    <s v="KL-2018-5607445"/>
    <d v="2019-11-11T00:00:00"/>
    <s v="Wendy Noel"/>
    <x v="4"/>
    <x v="19"/>
    <s v="Amsterdam"/>
    <x v="2"/>
    <n v="5048"/>
    <n v="3515"/>
  </r>
  <r>
    <s v="KL-2018-5607137"/>
    <d v="2018-02-12T00:00:00"/>
    <s v="Julia Eriksson"/>
    <x v="8"/>
    <x v="10"/>
    <s v="Mumbai"/>
    <x v="1"/>
    <n v="5354"/>
    <n v="3242"/>
  </r>
  <r>
    <s v="KL-2018-5607162"/>
    <d v="2019-02-12T00:00:00"/>
    <s v="Yuki Osei"/>
    <x v="9"/>
    <x v="13"/>
    <s v="Hanover"/>
    <x v="2"/>
    <n v="4440"/>
    <n v="2763"/>
  </r>
  <r>
    <s v="KL-2018-5607193"/>
    <d v="2019-03-12T00:00:00"/>
    <s v="Zephr Johansson"/>
    <x v="4"/>
    <x v="19"/>
    <s v="Amsterdam"/>
    <x v="2"/>
    <n v="4368"/>
    <n v="3073"/>
  </r>
  <r>
    <s v="KL-2018-5607462"/>
    <d v="2020-03-12T00:00:00"/>
    <s v="Rashid Fischer"/>
    <x v="3"/>
    <x v="3"/>
    <s v="Vienna"/>
    <x v="2"/>
    <n v="3309"/>
    <n v="2124"/>
  </r>
  <r>
    <s v="KL-2018-5607199"/>
    <d v="2018-04-12T00:00:00"/>
    <s v="Hugo Hodges"/>
    <x v="8"/>
    <x v="9"/>
    <s v="Mysore"/>
    <x v="1"/>
    <n v="5478"/>
    <n v="3462"/>
  </r>
  <r>
    <s v="KL-2018-5607472"/>
    <d v="2018-04-12T00:00:00"/>
    <s v="Fatima Fischer"/>
    <x v="5"/>
    <x v="5"/>
    <s v="Krakow"/>
    <x v="0"/>
    <n v="1946"/>
    <n v="1086"/>
  </r>
  <r>
    <s v="KL-2018-5607081"/>
    <d v="2019-04-12T00:00:00"/>
    <s v="Kiona Adkins"/>
    <x v="1"/>
    <x v="18"/>
    <s v="Girona"/>
    <x v="1"/>
    <n v="3782"/>
    <n v="2682"/>
  </r>
  <r>
    <s v="KL-2018-5607078"/>
    <d v="2020-04-12T00:00:00"/>
    <s v="Tobias Hickman"/>
    <x v="1"/>
    <x v="1"/>
    <s v="Gandia"/>
    <x v="1"/>
    <n v="4877"/>
    <n v="2230"/>
  </r>
  <r>
    <s v="KL-2018-5607183"/>
    <d v="2020-05-12T00:00:00"/>
    <s v="Elsa Neal"/>
    <x v="9"/>
    <x v="14"/>
    <s v="Cologne"/>
    <x v="2"/>
    <n v="4465"/>
    <n v="2696"/>
  </r>
  <r>
    <s v="KL-2018-5607358"/>
    <d v="2020-05-12T00:00:00"/>
    <s v="Felix Osei"/>
    <x v="9"/>
    <x v="14"/>
    <s v="Cologne"/>
    <x v="2"/>
    <n v="3520"/>
    <n v="2345"/>
  </r>
  <r>
    <s v="KL-2018-5607085"/>
    <d v="2020-06-12T00:00:00"/>
    <s v="Lani Wagner"/>
    <x v="5"/>
    <x v="21"/>
    <s v="Radom"/>
    <x v="0"/>
    <n v="5033"/>
    <n v="2370"/>
  </r>
  <r>
    <s v="KL-2018-5607383"/>
    <d v="2020-07-12T00:00:00"/>
    <s v="Tobias Horton"/>
    <x v="7"/>
    <x v="7"/>
    <s v="Paris"/>
    <x v="2"/>
    <n v="2618"/>
    <n v="1331"/>
  </r>
  <r>
    <s v="KL-2018-5607059"/>
    <d v="2018-08-12T00:00:00"/>
    <s v="Guinevere Porter"/>
    <x v="1"/>
    <x v="8"/>
    <s v="Madrid"/>
    <x v="1"/>
    <n v="2648"/>
    <n v="1526"/>
  </r>
  <r>
    <s v="KL-2018-5607184"/>
    <d v="2018-08-12T00:00:00"/>
    <s v="Bruno Russo"/>
    <x v="1"/>
    <x v="8"/>
    <s v="Madrid"/>
    <x v="1"/>
    <n v="5771"/>
    <n v="3119"/>
  </r>
  <r>
    <s v="KL-2018-5607100"/>
    <d v="2020-08-12T00:00:00"/>
    <s v="Omar Horton"/>
    <x v="1"/>
    <x v="18"/>
    <s v="Girona"/>
    <x v="1"/>
    <n v="1660"/>
    <n v="1173"/>
  </r>
  <r>
    <s v="KL-2018-5607359"/>
    <d v="2020-10-12T00:00:00"/>
    <s v="Hana Ahmed"/>
    <x v="1"/>
    <x v="18"/>
    <s v="Barcelona"/>
    <x v="1"/>
    <n v="2609"/>
    <n v="1412"/>
  </r>
  <r>
    <s v="KL-2018-5607265"/>
    <d v="2018-11-12T00:00:00"/>
    <s v="Georgia Johansson"/>
    <x v="0"/>
    <x v="17"/>
    <s v="Malmo"/>
    <x v="0"/>
    <n v="1732"/>
    <n v="821"/>
  </r>
  <r>
    <s v="KL-2018-5607079"/>
    <d v="2019-11-12T00:00:00"/>
    <s v="Omar Johansson"/>
    <x v="1"/>
    <x v="18"/>
    <s v="Barcelona"/>
    <x v="1"/>
    <n v="2385"/>
    <n v="1346"/>
  </r>
  <r>
    <s v="KL-2018-5607381"/>
    <d v="2020-11-12T00:00:00"/>
    <s v="Yuki Andersen"/>
    <x v="0"/>
    <x v="0"/>
    <s v="Solna"/>
    <x v="0"/>
    <n v="4965"/>
    <n v="2510"/>
  </r>
  <r>
    <s v="KL-2018-5607222"/>
    <d v="2020-01-13T00:00:00"/>
    <s v="Felix Dejesus"/>
    <x v="1"/>
    <x v="18"/>
    <s v="Girona"/>
    <x v="1"/>
    <n v="3072"/>
    <n v="1591"/>
  </r>
  <r>
    <s v="KL-2018-5607054"/>
    <d v="2018-02-13T00:00:00"/>
    <s v="Andre Nakamura"/>
    <x v="1"/>
    <x v="8"/>
    <s v="Madrid"/>
    <x v="1"/>
    <n v="1558"/>
    <n v="734"/>
  </r>
  <r>
    <s v="KL-2018-5607480"/>
    <d v="2018-03-13T00:00:00"/>
    <s v="Tariq Fischer"/>
    <x v="5"/>
    <x v="21"/>
    <s v="Warsaw"/>
    <x v="0"/>
    <n v="5178"/>
    <n v="2598"/>
  </r>
  <r>
    <s v="KL-2018-5607407"/>
    <d v="2019-03-13T00:00:00"/>
    <s v="Leila Hickman"/>
    <x v="2"/>
    <x v="16"/>
    <s v="Brussels"/>
    <x v="2"/>
    <n v="2210"/>
    <n v="1588"/>
  </r>
  <r>
    <s v="KL-2018-5607490"/>
    <d v="2020-04-13T00:00:00"/>
    <s v="Ivan Larsson"/>
    <x v="5"/>
    <x v="5"/>
    <s v="Krakow"/>
    <x v="0"/>
    <n v="5721"/>
    <n v="3932"/>
  </r>
  <r>
    <s v="KL-2018-5607257"/>
    <d v="2018-05-13T00:00:00"/>
    <s v="Sasha Dubois"/>
    <x v="8"/>
    <x v="12"/>
    <s v="New Delhi"/>
    <x v="1"/>
    <n v="2926"/>
    <n v="2013"/>
  </r>
  <r>
    <s v="KL-2018-5607111"/>
    <d v="2019-05-13T00:00:00"/>
    <s v="Aristotle Santos"/>
    <x v="8"/>
    <x v="10"/>
    <s v="Nagpur"/>
    <x v="1"/>
    <n v="1836"/>
    <n v="1017"/>
  </r>
  <r>
    <s v="KL-2018-5607106"/>
    <d v="2020-05-13T00:00:00"/>
    <s v="Ingrid Hodges"/>
    <x v="4"/>
    <x v="19"/>
    <s v="Amsterdam"/>
    <x v="2"/>
    <n v="4366"/>
    <n v="2258"/>
  </r>
  <r>
    <s v="KL-2018-5607038"/>
    <d v="2018-06-13T00:00:00"/>
    <s v="Kiona Barrett"/>
    <x v="2"/>
    <x v="16"/>
    <s v="Brussels"/>
    <x v="2"/>
    <n v="4488"/>
    <n v="2238"/>
  </r>
  <r>
    <s v="KL-2018-5607246"/>
    <d v="2020-06-13T00:00:00"/>
    <s v="Fatima Weber"/>
    <x v="2"/>
    <x v="16"/>
    <s v="Brussels"/>
    <x v="2"/>
    <n v="5564"/>
    <n v="3659"/>
  </r>
  <r>
    <s v="KL-2018-5607488"/>
    <d v="2019-09-13T00:00:00"/>
    <s v="Felix Chen"/>
    <x v="4"/>
    <x v="19"/>
    <s v="Amsterdam"/>
    <x v="2"/>
    <n v="2600"/>
    <n v="1404"/>
  </r>
  <r>
    <s v="KL-2018-5607365"/>
    <d v="2018-10-13T00:00:00"/>
    <s v="Leila Muller"/>
    <x v="1"/>
    <x v="18"/>
    <s v="Barcelona"/>
    <x v="1"/>
    <n v="4966"/>
    <n v="3410"/>
  </r>
  <r>
    <s v="KL-2018-5607329"/>
    <d v="2019-11-13T00:00:00"/>
    <s v="Felix Bowers"/>
    <x v="1"/>
    <x v="1"/>
    <s v="Alicante"/>
    <x v="1"/>
    <n v="2461"/>
    <n v="1658"/>
  </r>
  <r>
    <s v="KL-2018-5607034"/>
    <d v="2018-01-14T00:00:00"/>
    <s v="Julia Kane"/>
    <x v="2"/>
    <x v="16"/>
    <s v="Brussels"/>
    <x v="2"/>
    <n v="2773"/>
    <n v="1426"/>
  </r>
  <r>
    <s v="KL-2018-5607050"/>
    <d v="2020-01-14T00:00:00"/>
    <s v="Felix Sullivan"/>
    <x v="3"/>
    <x v="3"/>
    <s v="Vienna"/>
    <x v="2"/>
    <n v="2201"/>
    <n v="1473"/>
  </r>
  <r>
    <s v="KL-2018-5607090"/>
    <d v="2019-03-14T00:00:00"/>
    <s v="Tariq Osei"/>
    <x v="6"/>
    <x v="11"/>
    <s v="Frederiksberg"/>
    <x v="0"/>
    <n v="5722"/>
    <n v="3714"/>
  </r>
  <r>
    <s v="KL-2018-5607045"/>
    <d v="2020-05-14T00:00:00"/>
    <s v="Hana Livingston"/>
    <x v="2"/>
    <x v="16"/>
    <s v="Brussels"/>
    <x v="2"/>
    <n v="5834"/>
    <n v="3065"/>
  </r>
  <r>
    <s v="KL-2018-5607117"/>
    <d v="2019-06-14T00:00:00"/>
    <s v="Carlos Chen"/>
    <x v="0"/>
    <x v="17"/>
    <s v="Malmo"/>
    <x v="0"/>
    <n v="5732"/>
    <n v="4209"/>
  </r>
  <r>
    <s v="KL-2018-5607507"/>
    <d v="2019-06-14T00:00:00"/>
    <s v="Rosa Nakamura"/>
    <x v="6"/>
    <x v="6"/>
    <s v="Esbjerg"/>
    <x v="0"/>
    <n v="3320"/>
    <n v="1847"/>
  </r>
  <r>
    <s v="KL-2018-5607349"/>
    <d v="2020-06-14T00:00:00"/>
    <s v="Kiona Livingston"/>
    <x v="7"/>
    <x v="22"/>
    <s v="Nice"/>
    <x v="2"/>
    <n v="1742"/>
    <n v="1115"/>
  </r>
  <r>
    <s v="KL-2018-5607132"/>
    <d v="2019-08-14T00:00:00"/>
    <s v="Evan Patel"/>
    <x v="4"/>
    <x v="19"/>
    <s v="Amsterdam"/>
    <x v="2"/>
    <n v="3667"/>
    <n v="2516"/>
  </r>
  <r>
    <s v="KL-2018-5607140"/>
    <d v="2019-08-14T00:00:00"/>
    <s v="Nina Hassan"/>
    <x v="5"/>
    <x v="21"/>
    <s v="Radom"/>
    <x v="0"/>
    <n v="2221"/>
    <n v="1209"/>
  </r>
  <r>
    <s v="KL-2018-5607273"/>
    <d v="2020-08-14T00:00:00"/>
    <s v="Isla Muller"/>
    <x v="4"/>
    <x v="19"/>
    <s v="Amsterdam"/>
    <x v="2"/>
    <n v="4721"/>
    <n v="2840"/>
  </r>
  <r>
    <s v="KL-2018-5607348"/>
    <d v="2018-10-14T00:00:00"/>
    <s v="Alicia Ramos"/>
    <x v="9"/>
    <x v="15"/>
    <s v="Augsburg"/>
    <x v="2"/>
    <n v="4333"/>
    <n v="2019"/>
  </r>
  <r>
    <s v="KL-2018-5607408"/>
    <d v="2018-10-14T00:00:00"/>
    <s v="Julia Neal"/>
    <x v="0"/>
    <x v="17"/>
    <s v="Helsingborg"/>
    <x v="0"/>
    <n v="5017"/>
    <n v="2731"/>
  </r>
  <r>
    <s v="KL-2018-5607409"/>
    <d v="2018-10-14T00:00:00"/>
    <s v="Guinevere Chen"/>
    <x v="9"/>
    <x v="13"/>
    <s v="Bremen"/>
    <x v="2"/>
    <n v="3834"/>
    <n v="2621"/>
  </r>
  <r>
    <s v="KL-2018-5607164"/>
    <d v="2020-10-14T00:00:00"/>
    <s v="Priya Moore"/>
    <x v="0"/>
    <x v="17"/>
    <s v="Malmo"/>
    <x v="0"/>
    <n v="3057"/>
    <n v="1945"/>
  </r>
  <r>
    <s v="KL-2018-5607379"/>
    <d v="2019-12-14T00:00:00"/>
    <s v="Nadia Kim"/>
    <x v="0"/>
    <x v="0"/>
    <s v="Solna"/>
    <x v="0"/>
    <n v="2194"/>
    <n v="1429"/>
  </r>
  <r>
    <s v="KL-2018-5607224"/>
    <d v="2020-12-14T00:00:00"/>
    <s v="Sopoline Johansson"/>
    <x v="7"/>
    <x v="7"/>
    <s v="Versailles"/>
    <x v="2"/>
    <n v="4586"/>
    <n v="2275"/>
  </r>
  <r>
    <s v="KL-2018-5607341"/>
    <d v="2020-12-14T00:00:00"/>
    <s v="Ingrid Petrov"/>
    <x v="8"/>
    <x v="9"/>
    <s v="Bangalore"/>
    <x v="1"/>
    <n v="4556"/>
    <n v="3361"/>
  </r>
  <r>
    <s v="KL-2018-5607429"/>
    <d v="2019-02-15T00:00:00"/>
    <s v="Priya Fischer"/>
    <x v="8"/>
    <x v="20"/>
    <s v="Gaya"/>
    <x v="1"/>
    <n v="4516"/>
    <n v="2833"/>
  </r>
  <r>
    <s v="KL-2018-5607155"/>
    <d v="2018-03-15T00:00:00"/>
    <s v="Tobias Livingston"/>
    <x v="1"/>
    <x v="8"/>
    <s v="Madrid"/>
    <x v="1"/>
    <n v="3363"/>
    <n v="2266"/>
  </r>
  <r>
    <s v="KL-2018-5607316"/>
    <d v="2020-03-15T00:00:00"/>
    <s v="Elsa Mckenzie"/>
    <x v="1"/>
    <x v="1"/>
    <s v="Gandia"/>
    <x v="1"/>
    <n v="3944"/>
    <n v="2322"/>
  </r>
  <r>
    <s v="KL-2018-5607363"/>
    <d v="2020-03-15T00:00:00"/>
    <s v="Leon Neal"/>
    <x v="0"/>
    <x v="0"/>
    <s v="Stockholm"/>
    <x v="0"/>
    <n v="1720"/>
    <n v="1265"/>
  </r>
  <r>
    <s v="KL-2018-5607394"/>
    <d v="2020-03-15T00:00:00"/>
    <s v="Isla Hickman"/>
    <x v="0"/>
    <x v="17"/>
    <s v="Helsingborg"/>
    <x v="0"/>
    <n v="4573"/>
    <n v="2677"/>
  </r>
  <r>
    <s v="KL-2018-5607491"/>
    <d v="2018-05-15T00:00:00"/>
    <s v="Felix Bergmann"/>
    <x v="5"/>
    <x v="5"/>
    <s v="Krakow"/>
    <x v="0"/>
    <n v="5794"/>
    <n v="4135"/>
  </r>
  <r>
    <s v="KL-2018-5607291"/>
    <d v="2019-07-15T00:00:00"/>
    <s v="Priya Neal"/>
    <x v="0"/>
    <x v="17"/>
    <s v="Helsingborg"/>
    <x v="0"/>
    <n v="4327"/>
    <n v="3186"/>
  </r>
  <r>
    <s v="KL-2018-5607373"/>
    <d v="2020-07-15T00:00:00"/>
    <s v="Amara Livingston"/>
    <x v="8"/>
    <x v="10"/>
    <s v="Nagpur"/>
    <x v="1"/>
    <n v="2442"/>
    <n v="1115"/>
  </r>
  <r>
    <s v="KL-2018-5607528"/>
    <d v="2018-08-15T00:00:00"/>
    <s v="Diana Johansson"/>
    <x v="4"/>
    <x v="19"/>
    <s v="Amsterdam"/>
    <x v="2"/>
    <n v="5691"/>
    <n v="2689"/>
  </r>
  <r>
    <s v="KL-2018-5607179"/>
    <d v="2018-09-15T00:00:00"/>
    <s v="Diana Foster"/>
    <x v="9"/>
    <x v="15"/>
    <s v="Munich"/>
    <x v="2"/>
    <n v="3269"/>
    <n v="2268"/>
  </r>
  <r>
    <s v="KL-2018-5607089"/>
    <d v="2019-09-15T00:00:00"/>
    <s v="Priya Foster"/>
    <x v="2"/>
    <x v="16"/>
    <s v="Brussels"/>
    <x v="2"/>
    <n v="5119"/>
    <n v="2982"/>
  </r>
  <r>
    <s v="KL-2018-5607128"/>
    <d v="2019-09-15T00:00:00"/>
    <s v="Henry Sullivan"/>
    <x v="9"/>
    <x v="15"/>
    <s v="Nuremberg"/>
    <x v="2"/>
    <n v="3348"/>
    <n v="2285"/>
  </r>
  <r>
    <s v="KL-2018-5607135"/>
    <d v="2019-09-15T00:00:00"/>
    <s v="Alicia Hassan"/>
    <x v="8"/>
    <x v="9"/>
    <s v="Mysore"/>
    <x v="1"/>
    <n v="2158"/>
    <n v="1358"/>
  </r>
  <r>
    <s v="KL-2018-5607371"/>
    <d v="2020-09-15T00:00:00"/>
    <s v="Aristotle Patel"/>
    <x v="2"/>
    <x v="2"/>
    <s v="Leuven"/>
    <x v="2"/>
    <n v="2660"/>
    <n v="1474"/>
  </r>
  <r>
    <s v="KL-2018-5607470"/>
    <d v="2020-09-15T00:00:00"/>
    <s v="Evan Adkins"/>
    <x v="2"/>
    <x v="2"/>
    <s v="Mechelen"/>
    <x v="2"/>
    <n v="2786"/>
    <n v="1298"/>
  </r>
  <r>
    <s v="KL-2018-5607332"/>
    <d v="2020-10-15T00:00:00"/>
    <s v="Mei Barrett"/>
    <x v="4"/>
    <x v="4"/>
    <s v="Rotterdam"/>
    <x v="2"/>
    <n v="4536"/>
    <n v="2467"/>
  </r>
  <r>
    <s v="KL-2018-5607504"/>
    <d v="2020-10-15T00:00:00"/>
    <s v="Priya Barnes"/>
    <x v="2"/>
    <x v="16"/>
    <s v="Brussels"/>
    <x v="2"/>
    <n v="1789"/>
    <n v="1117"/>
  </r>
  <r>
    <s v="KL-2018-5607417"/>
    <d v="2018-11-15T00:00:00"/>
    <s v="Viktor Okafor"/>
    <x v="2"/>
    <x v="2"/>
    <s v="Mechelen"/>
    <x v="2"/>
    <n v="5083"/>
    <n v="3400"/>
  </r>
  <r>
    <s v="KL-2018-5607506"/>
    <d v="2018-12-15T00:00:00"/>
    <s v="Nina Nakamura"/>
    <x v="6"/>
    <x v="6"/>
    <s v="Esbjerg"/>
    <x v="0"/>
    <n v="5356"/>
    <n v="2615"/>
  </r>
  <r>
    <s v="KL-2018-5607425"/>
    <d v="2020-01-16T00:00:00"/>
    <s v="Yuki Hickman"/>
    <x v="6"/>
    <x v="11"/>
    <s v="Frederiksberg"/>
    <x v="0"/>
    <n v="3339"/>
    <n v="1824"/>
  </r>
  <r>
    <s v="KL-2018-5607088"/>
    <d v="2020-02-16T00:00:00"/>
    <s v="Hugo Dejesus"/>
    <x v="0"/>
    <x v="17"/>
    <s v="Helsingborg"/>
    <x v="0"/>
    <n v="5988"/>
    <n v="4192"/>
  </r>
  <r>
    <s v="KL-2018-5607105"/>
    <d v="2020-02-16T00:00:00"/>
    <s v="Amara Foster"/>
    <x v="4"/>
    <x v="4"/>
    <s v="The Hague"/>
    <x v="2"/>
    <n v="4605"/>
    <n v="2456"/>
  </r>
  <r>
    <s v="KL-2018-5607116"/>
    <d v="2020-02-16T00:00:00"/>
    <s v="Carlos Adkins"/>
    <x v="4"/>
    <x v="4"/>
    <s v="Rotterdam"/>
    <x v="2"/>
    <n v="5494"/>
    <n v="2821"/>
  </r>
  <r>
    <s v="KL-2018-5607343"/>
    <d v="2020-02-16T00:00:00"/>
    <s v="Yuki Nakamura"/>
    <x v="4"/>
    <x v="19"/>
    <s v="Amsterdam"/>
    <x v="2"/>
    <n v="2903"/>
    <n v="1378"/>
  </r>
  <r>
    <s v="KL-2018-5607087"/>
    <d v="2020-04-16T00:00:00"/>
    <s v="Amara Hassan"/>
    <x v="8"/>
    <x v="20"/>
    <s v="Patna"/>
    <x v="1"/>
    <n v="4944"/>
    <n v="3211"/>
  </r>
  <r>
    <s v="KL-2018-5607139"/>
    <d v="2020-04-16T00:00:00"/>
    <s v="Carlos Okafor"/>
    <x v="9"/>
    <x v="13"/>
    <s v="Hanover"/>
    <x v="2"/>
    <n v="4872"/>
    <n v="3206"/>
  </r>
  <r>
    <s v="KL-2018-5607052"/>
    <d v="2020-05-16T00:00:00"/>
    <s v="Ria Dubois"/>
    <x v="1"/>
    <x v="8"/>
    <s v="Madrid"/>
    <x v="1"/>
    <n v="4768"/>
    <n v="3569"/>
  </r>
  <r>
    <s v="KL-2018-5607192"/>
    <d v="2020-05-16T00:00:00"/>
    <s v="Rosa Horton"/>
    <x v="8"/>
    <x v="12"/>
    <s v="New Delhi"/>
    <x v="1"/>
    <n v="2348"/>
    <n v="1463"/>
  </r>
  <r>
    <s v="KL-2018-5607173"/>
    <d v="2019-09-16T00:00:00"/>
    <s v="Isla Neal"/>
    <x v="9"/>
    <x v="13"/>
    <s v="Bremen"/>
    <x v="2"/>
    <n v="2611"/>
    <n v="1479"/>
  </r>
  <r>
    <s v="KL-2018-5607321"/>
    <d v="2019-10-16T00:00:00"/>
    <s v="Diana Lindqvist"/>
    <x v="7"/>
    <x v="7"/>
    <s v="Paris"/>
    <x v="2"/>
    <n v="2673"/>
    <n v="1993"/>
  </r>
  <r>
    <s v="KL-2018-5607474"/>
    <d v="2018-12-16T00:00:00"/>
    <s v="Leila Patel"/>
    <x v="9"/>
    <x v="14"/>
    <s v="Bielefeld"/>
    <x v="2"/>
    <n v="4026"/>
    <n v="2759"/>
  </r>
  <r>
    <s v="KL-2018-5607077"/>
    <d v="2020-01-17T00:00:00"/>
    <s v="Sopoline Petrov"/>
    <x v="1"/>
    <x v="8"/>
    <s v="Madrid"/>
    <x v="1"/>
    <n v="2342"/>
    <n v="1302"/>
  </r>
  <r>
    <s v="KL-2018-5607204"/>
    <d v="2019-04-17T00:00:00"/>
    <s v="Tariq Nakamura"/>
    <x v="7"/>
    <x v="7"/>
    <s v="Paris"/>
    <x v="2"/>
    <n v="1846"/>
    <n v="1072"/>
  </r>
  <r>
    <s v="KL-2018-5607040"/>
    <d v="2019-05-17T00:00:00"/>
    <s v="Georgia Kim"/>
    <x v="2"/>
    <x v="16"/>
    <s v="Brussels"/>
    <x v="2"/>
    <n v="4156"/>
    <n v="2921"/>
  </r>
  <r>
    <s v="KL-2018-5607092"/>
    <d v="2019-05-17T00:00:00"/>
    <s v="Samuel Ahmed"/>
    <x v="9"/>
    <x v="14"/>
    <s v="Cologne"/>
    <x v="2"/>
    <n v="3092"/>
    <n v="2057"/>
  </r>
  <r>
    <s v="KL-2018-5607074"/>
    <d v="2020-05-17T00:00:00"/>
    <s v="Marcus Noel"/>
    <x v="3"/>
    <x v="3"/>
    <s v="Vienna"/>
    <x v="2"/>
    <n v="3645"/>
    <n v="1816"/>
  </r>
  <r>
    <s v="KL-2018-5607191"/>
    <d v="2018-07-17T00:00:00"/>
    <s v="Ivan Schneider"/>
    <x v="6"/>
    <x v="11"/>
    <s v="Frederiksberg"/>
    <x v="0"/>
    <n v="2501"/>
    <n v="1433"/>
  </r>
  <r>
    <s v="KL-2018-5607264"/>
    <d v="2019-07-17T00:00:00"/>
    <s v="Raymond Nguyen"/>
    <x v="8"/>
    <x v="10"/>
    <s v="Nagpur"/>
    <x v="1"/>
    <n v="2881"/>
    <n v="1807"/>
  </r>
  <r>
    <s v="KL-2018-5607386"/>
    <d v="2019-07-17T00:00:00"/>
    <s v="Kiona Dubois"/>
    <x v="8"/>
    <x v="20"/>
    <s v="Gaya"/>
    <x v="1"/>
    <n v="5557"/>
    <n v="3417"/>
  </r>
  <r>
    <s v="KL-2018-5607031"/>
    <d v="2018-08-17T00:00:00"/>
    <s v="Lana Chen"/>
    <x v="1"/>
    <x v="1"/>
    <s v="Gandia"/>
    <x v="1"/>
    <n v="2339"/>
    <n v="1527"/>
  </r>
  <r>
    <s v="KL-2018-5607267"/>
    <d v="2019-08-17T00:00:00"/>
    <s v="Patrick Muller"/>
    <x v="4"/>
    <x v="19"/>
    <s v="Haarlem"/>
    <x v="2"/>
    <n v="3936"/>
    <n v="2306"/>
  </r>
  <r>
    <s v="KL-2018-5607393"/>
    <d v="2018-09-17T00:00:00"/>
    <s v="Alicia Mckenzie"/>
    <x v="1"/>
    <x v="1"/>
    <s v="Alicante"/>
    <x v="1"/>
    <n v="4138"/>
    <n v="2890"/>
  </r>
  <r>
    <s v="KL-2018-5607220"/>
    <d v="2018-10-17T00:00:00"/>
    <s v="Nadia Muller"/>
    <x v="2"/>
    <x v="2"/>
    <s v="Leuven"/>
    <x v="2"/>
    <n v="4036"/>
    <n v="2492"/>
  </r>
  <r>
    <s v="KL-2018-5607209"/>
    <d v="2019-12-17T00:00:00"/>
    <s v="Nadia Ramos"/>
    <x v="6"/>
    <x v="11"/>
    <s v="Copenhagen"/>
    <x v="0"/>
    <n v="2699"/>
    <n v="1421"/>
  </r>
  <r>
    <s v="KL-2018-5607431"/>
    <d v="2018-02-18T00:00:00"/>
    <s v="Kiona Dubois"/>
    <x v="7"/>
    <x v="7"/>
    <s v="Paris"/>
    <x v="2"/>
    <n v="1511"/>
    <n v="1023"/>
  </r>
  <r>
    <s v="KL-2018-5607285"/>
    <d v="2020-02-18T00:00:00"/>
    <s v="Zephr Eriksson"/>
    <x v="1"/>
    <x v="1"/>
    <s v="Alicante"/>
    <x v="1"/>
    <n v="2400"/>
    <n v="1217"/>
  </r>
  <r>
    <s v="KL-2018-5607351"/>
    <d v="2020-02-18T00:00:00"/>
    <s v="Henry Ahmed"/>
    <x v="8"/>
    <x v="20"/>
    <s v="Patna"/>
    <x v="1"/>
    <n v="2172"/>
    <n v="1152"/>
  </r>
  <r>
    <s v="KL-2018-5607352"/>
    <d v="2020-02-18T00:00:00"/>
    <s v="Evan Nguyen"/>
    <x v="6"/>
    <x v="6"/>
    <s v="Odense"/>
    <x v="0"/>
    <n v="4454"/>
    <n v="2146"/>
  </r>
  <r>
    <s v="KL-2018-5607521"/>
    <d v="2018-03-18T00:00:00"/>
    <s v="Yuki Nguyen"/>
    <x v="8"/>
    <x v="10"/>
    <s v="Nagpur"/>
    <x v="1"/>
    <n v="1892"/>
    <n v="1227"/>
  </r>
  <r>
    <s v="KL-2018-5607435"/>
    <d v="2020-03-18T00:00:00"/>
    <s v="Hedda Gomez"/>
    <x v="0"/>
    <x v="0"/>
    <s v="Solna"/>
    <x v="0"/>
    <n v="2570"/>
    <n v="1339"/>
  </r>
  <r>
    <s v="KL-2018-5607427"/>
    <d v="2018-04-18T00:00:00"/>
    <s v="Stella Moore"/>
    <x v="5"/>
    <x v="21"/>
    <s v="Radom"/>
    <x v="0"/>
    <n v="2064"/>
    <n v="1471"/>
  </r>
  <r>
    <s v="KL-2018-5607317"/>
    <d v="2020-05-18T00:00:00"/>
    <s v="Viktor Tanaka"/>
    <x v="1"/>
    <x v="1"/>
    <s v="Valencia"/>
    <x v="1"/>
    <n v="4335"/>
    <n v="2152"/>
  </r>
  <r>
    <s v="KL-2018-5607217"/>
    <d v="2020-06-18T00:00:00"/>
    <s v="Elsa Wagner"/>
    <x v="0"/>
    <x v="0"/>
    <s v="Solna"/>
    <x v="0"/>
    <n v="4554"/>
    <n v="3303"/>
  </r>
  <r>
    <s v="KL-2018-5607212"/>
    <d v="2020-08-18T00:00:00"/>
    <s v="Bruno Nguyen"/>
    <x v="8"/>
    <x v="12"/>
    <s v="New Delhi"/>
    <x v="1"/>
    <n v="4383"/>
    <n v="2639"/>
  </r>
  <r>
    <s v="KL-2018-5607227"/>
    <d v="2020-08-18T00:00:00"/>
    <s v="Dahlia Schneider"/>
    <x v="0"/>
    <x v="17"/>
    <s v="Helsingborg"/>
    <x v="0"/>
    <n v="3808"/>
    <n v="2602"/>
  </r>
  <r>
    <s v="KL-2018-5607234"/>
    <d v="2020-08-18T00:00:00"/>
    <s v="Bruno Ahmed"/>
    <x v="3"/>
    <x v="3"/>
    <s v="Vienna"/>
    <x v="2"/>
    <n v="3596"/>
    <n v="1850"/>
  </r>
  <r>
    <s v="KL-2018-5607499"/>
    <d v="2019-09-18T00:00:00"/>
    <s v="Evan Bergmann"/>
    <x v="8"/>
    <x v="9"/>
    <s v="Mysore"/>
    <x v="1"/>
    <n v="4356"/>
    <n v="2560"/>
  </r>
  <r>
    <s v="KL-2018-5607149"/>
    <d v="2020-09-18T00:00:00"/>
    <s v="Nadia Rivera"/>
    <x v="5"/>
    <x v="5"/>
    <s v="Tarnow"/>
    <x v="0"/>
    <n v="4136"/>
    <n v="2940"/>
  </r>
  <r>
    <s v="KL-2018-5607448"/>
    <d v="2020-10-18T00:00:00"/>
    <s v="Omar Nakamura"/>
    <x v="4"/>
    <x v="19"/>
    <s v="Amsterdam"/>
    <x v="2"/>
    <n v="3791"/>
    <n v="2141"/>
  </r>
  <r>
    <s v="KL-2018-5607091"/>
    <d v="2019-11-18T00:00:00"/>
    <s v="Henry Sullivan"/>
    <x v="8"/>
    <x v="20"/>
    <s v="Patna"/>
    <x v="1"/>
    <n v="2707"/>
    <n v="1237"/>
  </r>
  <r>
    <s v="KL-2018-5607233"/>
    <d v="2019-11-18T00:00:00"/>
    <s v="Zephr Mckenzie"/>
    <x v="3"/>
    <x v="3"/>
    <s v="Vienna"/>
    <x v="2"/>
    <n v="2636"/>
    <n v="1786"/>
  </r>
  <r>
    <s v="KL-2018-5607447"/>
    <d v="2019-01-19T00:00:00"/>
    <s v="Marcus Chen"/>
    <x v="4"/>
    <x v="19"/>
    <s v="Amsterdam"/>
    <x v="2"/>
    <n v="3513"/>
    <n v="2263"/>
  </r>
  <r>
    <s v="KL-2018-5607101"/>
    <d v="2020-02-19T00:00:00"/>
    <s v="Samuel Bowers"/>
    <x v="7"/>
    <x v="22"/>
    <s v="Nice"/>
    <x v="2"/>
    <n v="4932"/>
    <n v="3015"/>
  </r>
  <r>
    <s v="KL-2018-5607129"/>
    <d v="2020-02-19T00:00:00"/>
    <s v="Bruno Weber"/>
    <x v="8"/>
    <x v="9"/>
    <s v="Mysore"/>
    <x v="1"/>
    <n v="1993"/>
    <n v="1261"/>
  </r>
  <r>
    <s v="KL-2018-5607446"/>
    <d v="2020-03-19T00:00:00"/>
    <s v="Isla Adkins"/>
    <x v="2"/>
    <x v="16"/>
    <s v="Brussels"/>
    <x v="2"/>
    <n v="4399"/>
    <n v="2262"/>
  </r>
  <r>
    <s v="KL-2018-5607153"/>
    <d v="2020-04-19T00:00:00"/>
    <s v="Patrick Hickman"/>
    <x v="9"/>
    <x v="14"/>
    <s v="Cologne"/>
    <x v="2"/>
    <n v="4273"/>
    <n v="2721"/>
  </r>
  <r>
    <s v="KL-2018-5607239"/>
    <d v="2018-05-19T00:00:00"/>
    <s v="Elsa Dubois"/>
    <x v="5"/>
    <x v="21"/>
    <s v="Radom"/>
    <x v="0"/>
    <n v="5351"/>
    <n v="2477"/>
  </r>
  <r>
    <s v="KL-2018-5607465"/>
    <d v="2018-05-19T00:00:00"/>
    <s v="Nadia Barnes"/>
    <x v="9"/>
    <x v="15"/>
    <s v="Munich"/>
    <x v="2"/>
    <n v="1894"/>
    <n v="1071"/>
  </r>
  <r>
    <s v="KL-2018-5607083"/>
    <d v="2019-06-19T00:00:00"/>
    <s v="Stella Gomez"/>
    <x v="8"/>
    <x v="10"/>
    <s v="Mumbai"/>
    <x v="1"/>
    <n v="5059"/>
    <n v="2801"/>
  </r>
  <r>
    <s v="KL-2018-5607436"/>
    <d v="2019-06-19T00:00:00"/>
    <s v="Amara Hassan"/>
    <x v="7"/>
    <x v="22"/>
    <s v="Nice"/>
    <x v="2"/>
    <n v="3727"/>
    <n v="1938"/>
  </r>
  <r>
    <s v="KL-2018-5607484"/>
    <d v="2018-08-19T00:00:00"/>
    <s v="Omar Hickman"/>
    <x v="6"/>
    <x v="11"/>
    <s v="Copenhagen"/>
    <x v="0"/>
    <n v="2327"/>
    <n v="1595"/>
  </r>
  <r>
    <s v="KL-2018-5607460"/>
    <d v="2018-11-19T00:00:00"/>
    <s v="Rosa Costa"/>
    <x v="4"/>
    <x v="4"/>
    <s v="Rotterdam"/>
    <x v="2"/>
    <n v="4423"/>
    <n v="2286"/>
  </r>
  <r>
    <s v="KL-2018-5607071"/>
    <d v="2020-12-19T00:00:00"/>
    <s v="Lani Johansson"/>
    <x v="5"/>
    <x v="5"/>
    <s v="Krakow"/>
    <x v="0"/>
    <n v="2600"/>
    <n v="1376"/>
  </r>
  <r>
    <s v="KL-2018-5607167"/>
    <d v="2020-01-20T00:00:00"/>
    <s v="Elsa Russo"/>
    <x v="8"/>
    <x v="20"/>
    <s v="Gaya"/>
    <x v="1"/>
    <n v="5447"/>
    <n v="4031"/>
  </r>
  <r>
    <s v="KL-2018-5607276"/>
    <d v="2020-01-20T00:00:00"/>
    <s v="Julia Hassan"/>
    <x v="7"/>
    <x v="7"/>
    <s v="Paris"/>
    <x v="2"/>
    <n v="1919"/>
    <n v="1191"/>
  </r>
  <r>
    <s v="KL-2018-5607437"/>
    <d v="2019-02-20T00:00:00"/>
    <s v="Raymond Gomez"/>
    <x v="9"/>
    <x v="13"/>
    <s v="Langen"/>
    <x v="2"/>
    <n v="2846"/>
    <n v="1664"/>
  </r>
  <r>
    <s v="KL-2018-5607151"/>
    <d v="2020-02-20T00:00:00"/>
    <s v="Yuki Johansson"/>
    <x v="6"/>
    <x v="6"/>
    <s v="Esbjerg"/>
    <x v="0"/>
    <n v="2534"/>
    <n v="1522"/>
  </r>
  <r>
    <s v="KL-2018-5607388"/>
    <d v="2020-05-20T00:00:00"/>
    <s v="Aristotle Ferreira"/>
    <x v="1"/>
    <x v="18"/>
    <s v="Barcelona"/>
    <x v="1"/>
    <n v="5184"/>
    <n v="2741"/>
  </r>
  <r>
    <s v="KL-2018-5607063"/>
    <d v="2020-07-20T00:00:00"/>
    <s v="Priya Costa"/>
    <x v="5"/>
    <x v="5"/>
    <s v="Krakow"/>
    <x v="0"/>
    <n v="3055"/>
    <n v="1646"/>
  </r>
  <r>
    <s v="KL-2018-5607387"/>
    <d v="2018-08-20T00:00:00"/>
    <s v="Diana Neal"/>
    <x v="8"/>
    <x v="12"/>
    <s v="New Delhi"/>
    <x v="1"/>
    <n v="5115"/>
    <n v="3140"/>
  </r>
  <r>
    <s v="KL-2018-5607120"/>
    <d v="2019-09-20T00:00:00"/>
    <s v="Nina Gomez"/>
    <x v="7"/>
    <x v="22"/>
    <s v="Nice"/>
    <x v="2"/>
    <n v="4985"/>
    <n v="3733"/>
  </r>
  <r>
    <s v="KL-2018-5607249"/>
    <d v="2019-09-20T00:00:00"/>
    <s v="Bruno Lindqvist"/>
    <x v="2"/>
    <x v="2"/>
    <s v="Mechelen"/>
    <x v="2"/>
    <n v="4379"/>
    <n v="2557"/>
  </r>
  <r>
    <s v="KL-2018-5607237"/>
    <d v="2020-10-20T00:00:00"/>
    <s v="Hana Dubois"/>
    <x v="3"/>
    <x v="3"/>
    <s v="Vienna"/>
    <x v="2"/>
    <n v="3886"/>
    <n v="2249"/>
  </r>
  <r>
    <s v="KL-2018-5607423"/>
    <d v="2020-10-20T00:00:00"/>
    <s v="Diana Kane"/>
    <x v="7"/>
    <x v="7"/>
    <s v="Paris"/>
    <x v="2"/>
    <n v="2342"/>
    <n v="1682"/>
  </r>
  <r>
    <s v="KL-2018-5607296"/>
    <d v="2018-11-20T00:00:00"/>
    <s v="Omar Ferreira"/>
    <x v="4"/>
    <x v="4"/>
    <s v="Rotterdam"/>
    <x v="2"/>
    <n v="3853"/>
    <n v="2105"/>
  </r>
  <r>
    <s v="KL-2018-5607502"/>
    <d v="2019-11-20T00:00:00"/>
    <s v="Marcus Nguyen"/>
    <x v="7"/>
    <x v="22"/>
    <s v="Nice"/>
    <x v="2"/>
    <n v="3947"/>
    <n v="1999"/>
  </r>
  <r>
    <s v="KL-2018-5607270"/>
    <d v="2020-11-20T00:00:00"/>
    <s v="Sasha Barrett"/>
    <x v="7"/>
    <x v="7"/>
    <s v="Paris"/>
    <x v="2"/>
    <n v="2503"/>
    <n v="1327"/>
  </r>
  <r>
    <s v="KL-2018-5607215"/>
    <d v="2019-01-21T00:00:00"/>
    <s v="Amara Lindqvist"/>
    <x v="4"/>
    <x v="19"/>
    <s v="Amsterdam"/>
    <x v="2"/>
    <n v="5190"/>
    <n v="2496"/>
  </r>
  <r>
    <s v="KL-2018-5607252"/>
    <d v="2020-01-21T00:00:00"/>
    <s v="Leon Tanaka"/>
    <x v="0"/>
    <x v="0"/>
    <s v="Stockholm"/>
    <x v="0"/>
    <n v="5185"/>
    <n v="3809"/>
  </r>
  <r>
    <s v="KL-2018-5607073"/>
    <d v="2019-02-21T00:00:00"/>
    <s v="Hugo Nguyen"/>
    <x v="8"/>
    <x v="9"/>
    <s v="Mysore"/>
    <x v="1"/>
    <n v="1916"/>
    <n v="915"/>
  </r>
  <r>
    <s v="KL-2018-5607510"/>
    <d v="2020-02-21T00:00:00"/>
    <s v="Elsa Muller"/>
    <x v="2"/>
    <x v="2"/>
    <s v="Leuven"/>
    <x v="2"/>
    <n v="2625"/>
    <n v="1962"/>
  </r>
  <r>
    <s v="KL-2018-5607080"/>
    <d v="2018-03-21T00:00:00"/>
    <s v="Samuel Moore"/>
    <x v="1"/>
    <x v="18"/>
    <s v="Girona"/>
    <x v="1"/>
    <n v="4000"/>
    <n v="2784"/>
  </r>
  <r>
    <s v="KL-2018-5607280"/>
    <d v="2018-03-21T00:00:00"/>
    <s v="Raymond Bergmann"/>
    <x v="7"/>
    <x v="22"/>
    <s v="Nice"/>
    <x v="2"/>
    <n v="2720"/>
    <n v="1718"/>
  </r>
  <r>
    <s v="KL-2018-5607360"/>
    <d v="2020-03-21T00:00:00"/>
    <s v="Carlos Ahmed"/>
    <x v="2"/>
    <x v="16"/>
    <s v="Brussels"/>
    <x v="2"/>
    <n v="4242"/>
    <n v="2456"/>
  </r>
  <r>
    <s v="KL-2018-5607058"/>
    <d v="2018-04-21T00:00:00"/>
    <s v="Hugo Ferreira"/>
    <x v="9"/>
    <x v="13"/>
    <s v="Hanover"/>
    <x v="2"/>
    <n v="4279"/>
    <n v="2953"/>
  </r>
  <r>
    <s v="KL-2018-5607070"/>
    <d v="2018-05-21T00:00:00"/>
    <s v="Guinevere Schneider"/>
    <x v="8"/>
    <x v="20"/>
    <s v="Gaya"/>
    <x v="1"/>
    <n v="5950"/>
    <n v="3933"/>
  </r>
  <r>
    <s v="KL-2018-5607107"/>
    <d v="2018-05-21T00:00:00"/>
    <s v="Rashid Ferreira"/>
    <x v="3"/>
    <x v="3"/>
    <s v="Vienna"/>
    <x v="2"/>
    <n v="3133"/>
    <n v="2198"/>
  </r>
  <r>
    <s v="KL-2018-5607043"/>
    <d v="2019-05-21T00:00:00"/>
    <s v="Ivan Nakamura"/>
    <x v="5"/>
    <x v="5"/>
    <s v="Tarnow"/>
    <x v="0"/>
    <n v="4771"/>
    <n v="2665"/>
  </r>
  <r>
    <s v="KL-2018-5607126"/>
    <d v="2020-06-21T00:00:00"/>
    <s v="Carlos Dejesus"/>
    <x v="3"/>
    <x v="3"/>
    <s v="Vienna"/>
    <x v="2"/>
    <n v="2434"/>
    <n v="1695"/>
  </r>
  <r>
    <s v="KL-2018-5607123"/>
    <d v="2019-07-21T00:00:00"/>
    <s v="Rosa Gomez"/>
    <x v="5"/>
    <x v="5"/>
    <s v="Krakow"/>
    <x v="0"/>
    <n v="3090"/>
    <n v="1665"/>
  </r>
  <r>
    <s v="KL-2018-5607145"/>
    <d v="2018-08-21T00:00:00"/>
    <s v="Mei Neal"/>
    <x v="6"/>
    <x v="6"/>
    <s v="Odense"/>
    <x v="0"/>
    <n v="5668"/>
    <n v="3750"/>
  </r>
  <r>
    <s v="KL-2018-5607275"/>
    <d v="2020-08-21T00:00:00"/>
    <s v="Priya Dubois"/>
    <x v="3"/>
    <x v="3"/>
    <s v="Vienna"/>
    <x v="2"/>
    <n v="2597"/>
    <n v="1856"/>
  </r>
  <r>
    <s v="KL-2018-5607509"/>
    <d v="2020-08-21T00:00:00"/>
    <s v="Abbot Nguyen"/>
    <x v="0"/>
    <x v="0"/>
    <s v="Solna"/>
    <x v="0"/>
    <n v="3093"/>
    <n v="1856"/>
  </r>
  <r>
    <s v="KL-2018-5607508"/>
    <d v="2019-09-21T00:00:00"/>
    <s v="Omar Rivera"/>
    <x v="7"/>
    <x v="22"/>
    <s v="Nice"/>
    <x v="2"/>
    <n v="5299"/>
    <n v="3737"/>
  </r>
  <r>
    <s v="KL-2018-5607056"/>
    <d v="2020-09-21T00:00:00"/>
    <s v="Ria Dubois"/>
    <x v="6"/>
    <x v="6"/>
    <s v="Esbjerg"/>
    <x v="0"/>
    <n v="5374"/>
    <n v="3720"/>
  </r>
  <r>
    <s v="KL-2018-5607196"/>
    <d v="2018-10-21T00:00:00"/>
    <s v="Diana Johansson"/>
    <x v="2"/>
    <x v="2"/>
    <s v="Leuven"/>
    <x v="2"/>
    <n v="1751"/>
    <n v="836"/>
  </r>
  <r>
    <s v="KL-2018-5607035"/>
    <d v="2019-11-21T00:00:00"/>
    <s v="Aristotle Hodges"/>
    <x v="2"/>
    <x v="2"/>
    <s v="Mechelen"/>
    <x v="2"/>
    <n v="4317"/>
    <n v="2724"/>
  </r>
  <r>
    <s v="KL-2018-5607281"/>
    <d v="2020-11-21T00:00:00"/>
    <s v="Raymond Okafor"/>
    <x v="0"/>
    <x v="17"/>
    <s v="Malmo"/>
    <x v="0"/>
    <n v="4719"/>
    <n v="3525"/>
  </r>
  <r>
    <s v="KL-2018-5607302"/>
    <d v="2020-11-21T00:00:00"/>
    <s v="Amara Hodges"/>
    <x v="2"/>
    <x v="2"/>
    <s v="Leuven"/>
    <x v="2"/>
    <n v="2651"/>
    <n v="1572"/>
  </r>
  <r>
    <s v="KL-2018-5607382"/>
    <d v="2018-12-21T00:00:00"/>
    <s v="Sasha Kane"/>
    <x v="4"/>
    <x v="4"/>
    <s v="Rotterdam"/>
    <x v="2"/>
    <n v="3032"/>
    <n v="1650"/>
  </r>
  <r>
    <s v="KL-2018-5607326"/>
    <d v="2020-12-21T00:00:00"/>
    <s v="Raymond Tanaka"/>
    <x v="1"/>
    <x v="18"/>
    <s v="Barcelona"/>
    <x v="1"/>
    <n v="4205"/>
    <n v="2708"/>
  </r>
  <r>
    <s v="KL-2018-5607318"/>
    <d v="2019-01-22T00:00:00"/>
    <s v="Rosa Neal"/>
    <x v="3"/>
    <x v="3"/>
    <s v="Vienna"/>
    <x v="2"/>
    <n v="3471"/>
    <n v="1776"/>
  </r>
  <r>
    <s v="KL-2018-5607110"/>
    <d v="2018-02-22T00:00:00"/>
    <s v="Felix Fischer"/>
    <x v="2"/>
    <x v="16"/>
    <s v="Brussels"/>
    <x v="2"/>
    <n v="2122"/>
    <n v="1331"/>
  </r>
  <r>
    <s v="KL-2018-5607328"/>
    <d v="2018-03-22T00:00:00"/>
    <s v="Hedda Porter"/>
    <x v="0"/>
    <x v="0"/>
    <s v="Solna"/>
    <x v="0"/>
    <n v="3211"/>
    <n v="2282"/>
  </r>
  <r>
    <s v="KL-2018-5607411"/>
    <d v="2018-04-22T00:00:00"/>
    <s v="Guinevere Larsson"/>
    <x v="2"/>
    <x v="2"/>
    <s v="Leuven"/>
    <x v="2"/>
    <n v="5592"/>
    <n v="3586"/>
  </r>
  <r>
    <s v="KL-2018-5607339"/>
    <d v="2020-04-22T00:00:00"/>
    <s v="Lani Adkins"/>
    <x v="5"/>
    <x v="5"/>
    <s v="Tarnow"/>
    <x v="0"/>
    <n v="1640"/>
    <n v="985"/>
  </r>
  <r>
    <s v="KL-2018-5607051"/>
    <d v="2018-05-22T00:00:00"/>
    <s v="Julia Dubois"/>
    <x v="6"/>
    <x v="11"/>
    <s v="Frederiksberg"/>
    <x v="0"/>
    <n v="2852"/>
    <n v="1510"/>
  </r>
  <r>
    <s v="KL-2018-5607097"/>
    <d v="2019-05-22T00:00:00"/>
    <s v="Leila Chen"/>
    <x v="5"/>
    <x v="5"/>
    <s v="Krakow"/>
    <x v="0"/>
    <n v="3749"/>
    <n v="2181"/>
  </r>
  <r>
    <s v="KL-2018-5607286"/>
    <d v="2020-06-22T00:00:00"/>
    <s v="Amara Andersen"/>
    <x v="6"/>
    <x v="6"/>
    <s v="Esbjerg"/>
    <x v="0"/>
    <n v="4861"/>
    <n v="2919"/>
  </r>
  <r>
    <s v="KL-2018-5607378"/>
    <d v="2018-08-22T00:00:00"/>
    <s v="Ingrid Johansson"/>
    <x v="4"/>
    <x v="4"/>
    <s v="The Hague"/>
    <x v="2"/>
    <n v="4715"/>
    <n v="2952"/>
  </r>
  <r>
    <s v="KL-2018-5607125"/>
    <d v="2019-08-22T00:00:00"/>
    <s v="Alicia Mckenzie"/>
    <x v="4"/>
    <x v="19"/>
    <s v="Amsterdam"/>
    <x v="2"/>
    <n v="3829"/>
    <n v="2262"/>
  </r>
  <r>
    <s v="KL-2018-5607475"/>
    <d v="2020-08-22T00:00:00"/>
    <s v="Isla Johansson"/>
    <x v="8"/>
    <x v="10"/>
    <s v="Nagpur"/>
    <x v="1"/>
    <n v="5957"/>
    <n v="3373"/>
  </r>
  <r>
    <s v="KL-2018-5607262"/>
    <d v="2018-09-22T00:00:00"/>
    <s v="Clara Russo"/>
    <x v="3"/>
    <x v="3"/>
    <s v="Vienna"/>
    <x v="2"/>
    <n v="3991"/>
    <n v="1993"/>
  </r>
  <r>
    <s v="KL-2018-5607269"/>
    <d v="2018-10-22T00:00:00"/>
    <s v="Amara Bergmann"/>
    <x v="7"/>
    <x v="22"/>
    <s v="Nice"/>
    <x v="2"/>
    <n v="2571"/>
    <n v="1743"/>
  </r>
  <r>
    <s v="KL-2018-5607301"/>
    <d v="2019-11-22T00:00:00"/>
    <s v="Priya Fischer"/>
    <x v="1"/>
    <x v="1"/>
    <s v="Alicante"/>
    <x v="1"/>
    <n v="4821"/>
    <n v="3365"/>
  </r>
  <r>
    <s v="KL-2018-5607210"/>
    <d v="2018-12-22T00:00:00"/>
    <s v="Hana Hickman"/>
    <x v="9"/>
    <x v="13"/>
    <s v="Bremen"/>
    <x v="2"/>
    <n v="5547"/>
    <n v="3268"/>
  </r>
  <r>
    <s v="KL-2018-5607454"/>
    <d v="2018-12-22T00:00:00"/>
    <s v="Stella Sullivan"/>
    <x v="0"/>
    <x v="17"/>
    <s v="Helsingborg"/>
    <x v="0"/>
    <n v="1731"/>
    <n v="1144"/>
  </r>
  <r>
    <s v="KL-2018-5607455"/>
    <d v="2019-12-22T00:00:00"/>
    <s v="Diana Fischer"/>
    <x v="6"/>
    <x v="11"/>
    <s v="Frederiksberg"/>
    <x v="0"/>
    <n v="5941"/>
    <n v="3224"/>
  </r>
  <r>
    <s v="KL-2018-5607197"/>
    <d v="2020-12-22T00:00:00"/>
    <s v="Ria Tanaka"/>
    <x v="2"/>
    <x v="16"/>
    <s v="Brussels"/>
    <x v="2"/>
    <n v="2789"/>
    <n v="1564"/>
  </r>
  <r>
    <s v="KL-2018-5607194"/>
    <d v="2020-01-23T00:00:00"/>
    <s v="Wendy Chen"/>
    <x v="0"/>
    <x v="0"/>
    <s v="Solna"/>
    <x v="0"/>
    <n v="1715"/>
    <n v="1085"/>
  </r>
  <r>
    <s v="KL-2018-5607247"/>
    <d v="2020-01-23T00:00:00"/>
    <s v="Elsa Chen"/>
    <x v="9"/>
    <x v="15"/>
    <s v="Nuremberg"/>
    <x v="2"/>
    <n v="2146"/>
    <n v="1242"/>
  </r>
  <r>
    <s v="KL-2018-5607451"/>
    <d v="2018-02-23T00:00:00"/>
    <s v="Amara Lindqvist"/>
    <x v="1"/>
    <x v="1"/>
    <s v="Valencia"/>
    <x v="1"/>
    <n v="1979"/>
    <n v="1370"/>
  </r>
  <r>
    <s v="KL-2018-5607159"/>
    <d v="2020-02-23T00:00:00"/>
    <s v="Tobias Eriksson"/>
    <x v="1"/>
    <x v="18"/>
    <s v="Barcelona"/>
    <x v="1"/>
    <n v="3402"/>
    <n v="2001"/>
  </r>
  <r>
    <s v="KL-2018-5607315"/>
    <d v="2020-02-23T00:00:00"/>
    <s v="Bruno Tanaka"/>
    <x v="2"/>
    <x v="2"/>
    <s v="Leuven"/>
    <x v="2"/>
    <n v="4348"/>
    <n v="2111"/>
  </r>
  <r>
    <s v="KL-2018-5607500"/>
    <d v="2019-03-23T00:00:00"/>
    <s v="Mei Muller"/>
    <x v="5"/>
    <x v="5"/>
    <s v="Krakow"/>
    <x v="0"/>
    <n v="1560"/>
    <n v="941"/>
  </r>
  <r>
    <s v="KL-2018-5607202"/>
    <d v="2018-04-23T00:00:00"/>
    <s v="Lani Foster"/>
    <x v="8"/>
    <x v="20"/>
    <s v="Patna"/>
    <x v="1"/>
    <n v="3593"/>
    <n v="1928"/>
  </r>
  <r>
    <s v="KL-2018-5607419"/>
    <d v="2018-04-23T00:00:00"/>
    <s v="Felix Johansson"/>
    <x v="6"/>
    <x v="11"/>
    <s v="Copenhagen"/>
    <x v="0"/>
    <n v="2624"/>
    <n v="1733"/>
  </r>
  <r>
    <s v="KL-2018-5607180"/>
    <d v="2019-04-23T00:00:00"/>
    <s v="Carlos Hickman"/>
    <x v="0"/>
    <x v="0"/>
    <s v="Solna"/>
    <x v="0"/>
    <n v="2685"/>
    <n v="2003"/>
  </r>
  <r>
    <s v="KL-2018-5607271"/>
    <d v="2019-05-23T00:00:00"/>
    <s v="Zephr Barrett"/>
    <x v="3"/>
    <x v="3"/>
    <s v="Vienna"/>
    <x v="2"/>
    <n v="4925"/>
    <n v="2583"/>
  </r>
  <r>
    <s v="KL-2018-5607375"/>
    <d v="2020-05-23T00:00:00"/>
    <s v="Mei Moore"/>
    <x v="2"/>
    <x v="2"/>
    <s v="Leuven"/>
    <x v="2"/>
    <n v="5040"/>
    <n v="2866"/>
  </r>
  <r>
    <s v="KL-2018-5607356"/>
    <d v="2018-06-23T00:00:00"/>
    <s v="Rosa Nakamura"/>
    <x v="1"/>
    <x v="8"/>
    <s v="Madrid"/>
    <x v="1"/>
    <n v="4618"/>
    <n v="2312"/>
  </r>
  <r>
    <s v="KL-2018-5607422"/>
    <d v="2019-06-23T00:00:00"/>
    <s v="Evan Fischer"/>
    <x v="9"/>
    <x v="14"/>
    <s v="Cologne"/>
    <x v="2"/>
    <n v="5684"/>
    <n v="3171"/>
  </r>
  <r>
    <s v="KL-2018-5607075"/>
    <d v="2020-06-23T00:00:00"/>
    <s v="Sasha Bergmann"/>
    <x v="2"/>
    <x v="2"/>
    <s v="Leuven"/>
    <x v="2"/>
    <n v="2116"/>
    <n v="1552"/>
  </r>
  <r>
    <s v="KL-2018-5607161"/>
    <d v="2020-06-23T00:00:00"/>
    <s v="Nadia Gomez"/>
    <x v="8"/>
    <x v="9"/>
    <s v="Mysore"/>
    <x v="1"/>
    <n v="5242"/>
    <n v="3688"/>
  </r>
  <r>
    <s v="KL-2018-5607130"/>
    <d v="2018-07-23T00:00:00"/>
    <s v="Julia Foster"/>
    <x v="1"/>
    <x v="18"/>
    <s v="Barcelona"/>
    <x v="1"/>
    <n v="2786"/>
    <n v="1454"/>
  </r>
  <r>
    <s v="KL-2018-5607188"/>
    <d v="2018-07-23T00:00:00"/>
    <s v="Alicia Neal"/>
    <x v="5"/>
    <x v="21"/>
    <s v="Radom"/>
    <x v="0"/>
    <n v="5199"/>
    <n v="3724"/>
  </r>
  <r>
    <s v="KL-2018-5607171"/>
    <d v="2020-08-23T00:00:00"/>
    <s v="Lana Ahmed"/>
    <x v="5"/>
    <x v="5"/>
    <s v="Krakow"/>
    <x v="0"/>
    <n v="2017"/>
    <n v="1292"/>
  </r>
  <r>
    <s v="KL-2018-5607287"/>
    <d v="2020-08-23T00:00:00"/>
    <s v="Ivan Ramos"/>
    <x v="3"/>
    <x v="3"/>
    <s v="Vienna"/>
    <x v="2"/>
    <n v="4162"/>
    <n v="3119"/>
  </r>
  <r>
    <s v="KL-2018-5607201"/>
    <d v="2020-09-23T00:00:00"/>
    <s v="Elsa Johansson"/>
    <x v="8"/>
    <x v="10"/>
    <s v="Mumbai"/>
    <x v="1"/>
    <n v="4737"/>
    <n v="3530"/>
  </r>
  <r>
    <s v="KL-2018-5607263"/>
    <d v="2019-10-23T00:00:00"/>
    <s v="Evan Moore"/>
    <x v="7"/>
    <x v="22"/>
    <s v="Marseille"/>
    <x v="2"/>
    <n v="3552"/>
    <n v="1807"/>
  </r>
  <r>
    <s v="KL-2018-5607415"/>
    <d v="2020-10-23T00:00:00"/>
    <s v="Rashid Andersen"/>
    <x v="2"/>
    <x v="16"/>
    <s v="Brussels"/>
    <x v="2"/>
    <n v="5895"/>
    <n v="3603"/>
  </r>
  <r>
    <s v="KL-2018-5607158"/>
    <d v="2020-12-23T00:00:00"/>
    <s v="Omar Fischer"/>
    <x v="6"/>
    <x v="11"/>
    <s v="Copenhagen"/>
    <x v="0"/>
    <n v="2146"/>
    <n v="1358"/>
  </r>
  <r>
    <s v="KL-2018-5607046"/>
    <d v="2018-01-24T00:00:00"/>
    <s v="Hugo Ramos"/>
    <x v="9"/>
    <x v="15"/>
    <s v="Augsburg"/>
    <x v="2"/>
    <n v="3685"/>
    <n v="2507"/>
  </r>
  <r>
    <s v="KL-2018-5607505"/>
    <d v="2019-01-24T00:00:00"/>
    <s v="Carlos Ramos"/>
    <x v="1"/>
    <x v="8"/>
    <s v="Madrid"/>
    <x v="1"/>
    <n v="4436"/>
    <n v="2671"/>
  </r>
  <r>
    <s v="KL-2018-5607033"/>
    <d v="2018-02-24T00:00:00"/>
    <s v="Sasha Porter"/>
    <x v="5"/>
    <x v="5"/>
    <s v="Krakow"/>
    <x v="0"/>
    <n v="5179"/>
    <n v="3246"/>
  </r>
  <r>
    <s v="KL-2018-5607284"/>
    <d v="2018-02-24T00:00:00"/>
    <s v="Hana Osei"/>
    <x v="8"/>
    <x v="20"/>
    <s v="Patna"/>
    <x v="1"/>
    <n v="5435"/>
    <n v="2723"/>
  </r>
  <r>
    <s v="KL-2018-5607410"/>
    <d v="2018-02-24T00:00:00"/>
    <s v="Nina Muller"/>
    <x v="1"/>
    <x v="8"/>
    <s v="Madrid"/>
    <x v="1"/>
    <n v="4709"/>
    <n v="2536"/>
  </r>
  <r>
    <s v="KL-2018-5607099"/>
    <d v="2020-02-24T00:00:00"/>
    <s v="Alicia Hickman"/>
    <x v="1"/>
    <x v="1"/>
    <s v="Valencia"/>
    <x v="1"/>
    <n v="4839"/>
    <n v="2657"/>
  </r>
  <r>
    <s v="KL-2018-5607308"/>
    <d v="2019-03-24T00:00:00"/>
    <s v="Julia Sullivan"/>
    <x v="0"/>
    <x v="0"/>
    <s v="Solna"/>
    <x v="0"/>
    <n v="5826"/>
    <n v="3851"/>
  </r>
  <r>
    <s v="KL-2018-5607483"/>
    <d v="2020-03-24T00:00:00"/>
    <s v="Sasha Okafor"/>
    <x v="8"/>
    <x v="9"/>
    <s v="Bangalore"/>
    <x v="1"/>
    <n v="5780"/>
    <n v="3956"/>
  </r>
  <r>
    <s v="KL-2018-5607337"/>
    <d v="2020-04-24T00:00:00"/>
    <s v="Raymond Nguyen"/>
    <x v="1"/>
    <x v="1"/>
    <s v="Alicante"/>
    <x v="1"/>
    <n v="2737"/>
    <n v="1239"/>
  </r>
  <r>
    <s v="KL-2018-5607303"/>
    <d v="2019-05-24T00:00:00"/>
    <s v="Lani Barnes"/>
    <x v="2"/>
    <x v="2"/>
    <s v="Mechelen"/>
    <x v="2"/>
    <n v="3687"/>
    <n v="2714"/>
  </r>
  <r>
    <s v="KL-2018-5607323"/>
    <d v="2020-05-24T00:00:00"/>
    <s v="Sasha Larsson"/>
    <x v="3"/>
    <x v="3"/>
    <s v="Vienna"/>
    <x v="2"/>
    <n v="5796"/>
    <n v="3162"/>
  </r>
  <r>
    <s v="KL-2018-5607048"/>
    <d v="2019-06-24T00:00:00"/>
    <s v="Tariq Dejesus"/>
    <x v="5"/>
    <x v="21"/>
    <s v="Radom"/>
    <x v="0"/>
    <n v="5658"/>
    <n v="3579"/>
  </r>
  <r>
    <s v="KL-2018-5607477"/>
    <d v="2019-06-24T00:00:00"/>
    <s v="Kiona Chen"/>
    <x v="0"/>
    <x v="0"/>
    <s v="Stockholm"/>
    <x v="0"/>
    <n v="2292"/>
    <n v="1090"/>
  </r>
  <r>
    <s v="KL-2018-5607138"/>
    <d v="2020-06-24T00:00:00"/>
    <s v="Marcus Dejesus"/>
    <x v="0"/>
    <x v="17"/>
    <s v="Helsingborg"/>
    <x v="0"/>
    <n v="2247"/>
    <n v="1327"/>
  </r>
  <r>
    <s v="KL-2018-5607069"/>
    <d v="2018-07-24T00:00:00"/>
    <s v="Hedda Dubois"/>
    <x v="1"/>
    <x v="8"/>
    <s v="Madrid"/>
    <x v="1"/>
    <n v="2585"/>
    <n v="1886"/>
  </r>
  <r>
    <s v="KL-2018-5607530"/>
    <d v="2018-07-24T00:00:00"/>
    <s v="Stella Noel"/>
    <x v="8"/>
    <x v="12"/>
    <s v="New Delhi"/>
    <x v="1"/>
    <n v="4989"/>
    <n v="3350"/>
  </r>
  <r>
    <s v="KL-2018-5607314"/>
    <d v="2020-08-24T00:00:00"/>
    <s v="Sopoline Patel"/>
    <x v="2"/>
    <x v="2"/>
    <s v="Leuven"/>
    <x v="2"/>
    <n v="4943"/>
    <n v="2779"/>
  </r>
  <r>
    <s v="KL-2018-5607452"/>
    <d v="2020-08-24T00:00:00"/>
    <s v="Elsa Petrov"/>
    <x v="0"/>
    <x v="0"/>
    <s v="Stockholm"/>
    <x v="0"/>
    <n v="2320"/>
    <n v="1216"/>
  </r>
  <r>
    <s v="KL-2018-5607312"/>
    <d v="2019-09-24T00:00:00"/>
    <s v="Rosa Adkins"/>
    <x v="2"/>
    <x v="16"/>
    <s v="Brussels"/>
    <x v="2"/>
    <n v="3285"/>
    <n v="2048"/>
  </r>
  <r>
    <s v="KL-2018-5607251"/>
    <d v="2018-11-24T00:00:00"/>
    <s v="Lana Hickman"/>
    <x v="0"/>
    <x v="17"/>
    <s v="Malmo"/>
    <x v="0"/>
    <n v="2534"/>
    <n v="1191"/>
  </r>
  <r>
    <s v="KL-2018-5607272"/>
    <d v="2018-11-24T00:00:00"/>
    <s v="Amara Fischer"/>
    <x v="7"/>
    <x v="7"/>
    <s v="Villiers-sur-Marne"/>
    <x v="2"/>
    <n v="5581"/>
    <n v="4179"/>
  </r>
  <r>
    <s v="KL-2018-5607238"/>
    <d v="2019-12-24T00:00:00"/>
    <s v="Guinevere Fischer"/>
    <x v="2"/>
    <x v="2"/>
    <s v="Leuven"/>
    <x v="2"/>
    <n v="5788"/>
    <n v="4296"/>
  </r>
  <r>
    <s v="KL-2018-5607250"/>
    <d v="2019-12-24T00:00:00"/>
    <s v="Tobias Costa"/>
    <x v="8"/>
    <x v="10"/>
    <s v="Mumbai"/>
    <x v="1"/>
    <n v="4827"/>
    <n v="2698"/>
  </r>
  <r>
    <s v="KL-2018-5607057"/>
    <d v="2019-01-25T00:00:00"/>
    <s v="Aristotle Barrett"/>
    <x v="2"/>
    <x v="16"/>
    <s v="Brussels"/>
    <x v="2"/>
    <n v="4867"/>
    <n v="2872"/>
  </r>
  <r>
    <s v="KL-2018-5607283"/>
    <d v="2020-01-25T00:00:00"/>
    <s v="Carlos Eriksson"/>
    <x v="9"/>
    <x v="14"/>
    <s v="Dortmund"/>
    <x v="2"/>
    <n v="4020"/>
    <n v="2769"/>
  </r>
  <r>
    <s v="KL-2018-5607104"/>
    <d v="2018-02-25T00:00:00"/>
    <s v="Henry Ferreira"/>
    <x v="2"/>
    <x v="2"/>
    <s v="Mechelen"/>
    <x v="2"/>
    <n v="2988"/>
    <n v="1389"/>
  </r>
  <r>
    <s v="KL-2018-5607154"/>
    <d v="2020-03-25T00:00:00"/>
    <s v="Patrick Hodges"/>
    <x v="7"/>
    <x v="22"/>
    <s v="Nice"/>
    <x v="2"/>
    <n v="5497"/>
    <n v="3912"/>
  </r>
  <r>
    <s v="KL-2018-5607041"/>
    <d v="2018-04-25T00:00:00"/>
    <s v="Kiona Noel"/>
    <x v="7"/>
    <x v="22"/>
    <s v="Nice"/>
    <x v="2"/>
    <n v="2042"/>
    <n v="1048"/>
  </r>
  <r>
    <s v="KL-2018-5607320"/>
    <d v="2019-04-25T00:00:00"/>
    <s v="Viktor Foster"/>
    <x v="3"/>
    <x v="3"/>
    <s v="Vienna"/>
    <x v="2"/>
    <n v="3418"/>
    <n v="2374"/>
  </r>
  <r>
    <s v="KL-2018-5607402"/>
    <d v="2019-04-25T00:00:00"/>
    <s v="Clara Ferreira"/>
    <x v="9"/>
    <x v="15"/>
    <s v="Munich"/>
    <x v="2"/>
    <n v="1508"/>
    <n v="775"/>
  </r>
  <r>
    <s v="KL-2018-5607473"/>
    <d v="2020-05-25T00:00:00"/>
    <s v="Henry Patel"/>
    <x v="0"/>
    <x v="17"/>
    <s v="Malmo"/>
    <x v="0"/>
    <n v="2294"/>
    <n v="1050"/>
  </r>
  <r>
    <s v="KL-2018-5607118"/>
    <d v="2018-06-25T00:00:00"/>
    <s v="Guinevere Ramos"/>
    <x v="2"/>
    <x v="16"/>
    <s v="Brussels"/>
    <x v="2"/>
    <n v="5400"/>
    <n v="3476"/>
  </r>
  <r>
    <s v="KL-2018-5607060"/>
    <d v="2019-07-25T00:00:00"/>
    <s v="Mei Sullivan"/>
    <x v="9"/>
    <x v="14"/>
    <s v="Dortmund"/>
    <x v="2"/>
    <n v="2302"/>
    <n v="1070"/>
  </r>
  <r>
    <s v="KL-2018-5607254"/>
    <d v="2019-07-25T00:00:00"/>
    <s v="Guinevere Neal"/>
    <x v="3"/>
    <x v="3"/>
    <s v="Vienna"/>
    <x v="2"/>
    <n v="5741"/>
    <n v="3249"/>
  </r>
  <r>
    <s v="KL-2018-5607424"/>
    <d v="2018-08-25T00:00:00"/>
    <s v="Kiona Russo"/>
    <x v="3"/>
    <x v="3"/>
    <s v="Vienna"/>
    <x v="2"/>
    <n v="3503"/>
    <n v="1624"/>
  </r>
  <r>
    <s v="KL-2018-5607512"/>
    <d v="2020-09-25T00:00:00"/>
    <s v="Carlos Nguyen"/>
    <x v="6"/>
    <x v="6"/>
    <s v="Esbjerg"/>
    <x v="0"/>
    <n v="1538"/>
    <n v="900"/>
  </r>
  <r>
    <s v="KL-2018-5607141"/>
    <d v="2019-10-25T00:00:00"/>
    <s v="Wendy Hassan"/>
    <x v="5"/>
    <x v="21"/>
    <s v="Radom"/>
    <x v="0"/>
    <n v="4885"/>
    <n v="2277"/>
  </r>
  <r>
    <s v="KL-2018-5607458"/>
    <d v="2019-10-25T00:00:00"/>
    <s v="Abbot Adkins"/>
    <x v="6"/>
    <x v="11"/>
    <s v="Copenhagen"/>
    <x v="0"/>
    <n v="5811"/>
    <n v="4115"/>
  </r>
  <r>
    <s v="KL-2018-5607230"/>
    <d v="2018-11-25T00:00:00"/>
    <s v="Marcus Weber"/>
    <x v="5"/>
    <x v="21"/>
    <s v="Radom"/>
    <x v="0"/>
    <n v="2251"/>
    <n v="1652"/>
  </r>
  <r>
    <s v="KL-2018-5607503"/>
    <d v="2020-11-25T00:00:00"/>
    <s v="Julia Sullivan"/>
    <x v="3"/>
    <x v="3"/>
    <s v="Vienna"/>
    <x v="2"/>
    <n v="2646"/>
    <n v="1763"/>
  </r>
  <r>
    <s v="KL-2018-5607242"/>
    <d v="2018-12-25T00:00:00"/>
    <s v="Rashid Eriksson"/>
    <x v="4"/>
    <x v="4"/>
    <s v="Rotterdam"/>
    <x v="2"/>
    <n v="2604"/>
    <n v="1221"/>
  </r>
  <r>
    <s v="KL-2018-5607109"/>
    <d v="2020-01-26T00:00:00"/>
    <s v="Georgia Lindqvist"/>
    <x v="0"/>
    <x v="0"/>
    <s v="Stockholm"/>
    <x v="0"/>
    <n v="4048"/>
    <n v="1952"/>
  </r>
  <r>
    <s v="KL-2018-5607259"/>
    <d v="2020-01-26T00:00:00"/>
    <s v="Mei Nakamura"/>
    <x v="6"/>
    <x v="11"/>
    <s v="Copenhagen"/>
    <x v="0"/>
    <n v="4033"/>
    <n v="2296"/>
  </r>
  <r>
    <s v="KL-2018-5607093"/>
    <d v="2020-02-26T00:00:00"/>
    <s v="Isla Hassan"/>
    <x v="1"/>
    <x v="1"/>
    <s v="Alicante"/>
    <x v="1"/>
    <n v="1545"/>
    <n v="1108"/>
  </r>
  <r>
    <s v="KL-2018-5607384"/>
    <d v="2020-02-26T00:00:00"/>
    <s v="Sasha Russo"/>
    <x v="4"/>
    <x v="4"/>
    <s v="The Hague"/>
    <x v="2"/>
    <n v="4904"/>
    <n v="3251"/>
  </r>
  <r>
    <s v="KL-2018-5607362"/>
    <d v="2020-03-26T00:00:00"/>
    <s v="Amara Patel"/>
    <x v="4"/>
    <x v="19"/>
    <s v="Haarlem"/>
    <x v="2"/>
    <n v="4580"/>
    <n v="2446"/>
  </r>
  <r>
    <s v="KL-2018-5607412"/>
    <d v="2018-05-26T00:00:00"/>
    <s v="Elsa Bowers"/>
    <x v="7"/>
    <x v="22"/>
    <s v="Marseille"/>
    <x v="2"/>
    <n v="4668"/>
    <n v="3306"/>
  </r>
  <r>
    <s v="KL-2018-5607095"/>
    <d v="2019-05-26T00:00:00"/>
    <s v="Wendy Kim"/>
    <x v="6"/>
    <x v="6"/>
    <s v="Odense"/>
    <x v="0"/>
    <n v="5125"/>
    <n v="3248"/>
  </r>
  <r>
    <s v="KL-2018-5607390"/>
    <d v="2020-05-26T00:00:00"/>
    <s v="Georgia Ahmed"/>
    <x v="6"/>
    <x v="11"/>
    <s v="Copenhagen"/>
    <x v="0"/>
    <n v="1986"/>
    <n v="1233"/>
  </r>
  <r>
    <s v="KL-2018-5607489"/>
    <d v="2020-06-26T00:00:00"/>
    <s v="Rashid Okafor"/>
    <x v="8"/>
    <x v="9"/>
    <s v="Bangalore"/>
    <x v="1"/>
    <n v="3039"/>
    <n v="1770"/>
  </r>
  <r>
    <s v="KL-2018-5607319"/>
    <d v="2018-07-26T00:00:00"/>
    <s v="Hana Noel"/>
    <x v="4"/>
    <x v="19"/>
    <s v="Amsterdam"/>
    <x v="2"/>
    <n v="1862"/>
    <n v="1062"/>
  </r>
  <r>
    <s v="KL-2018-5607524"/>
    <d v="2018-07-26T00:00:00"/>
    <s v="Nina Wagner"/>
    <x v="8"/>
    <x v="20"/>
    <s v="Gaya"/>
    <x v="1"/>
    <n v="2359"/>
    <n v="1423"/>
  </r>
  <r>
    <s v="KL-2018-5607082"/>
    <d v="2019-07-26T00:00:00"/>
    <s v="Nadia Ferreira"/>
    <x v="5"/>
    <x v="5"/>
    <s v="Tarnow"/>
    <x v="0"/>
    <n v="1726"/>
    <n v="836"/>
  </r>
  <r>
    <s v="KL-2018-5607243"/>
    <d v="2020-07-26T00:00:00"/>
    <s v="Sopoline Patel"/>
    <x v="1"/>
    <x v="1"/>
    <s v="Gandia"/>
    <x v="1"/>
    <n v="1843"/>
    <n v="1003"/>
  </r>
  <r>
    <s v="KL-2018-5607068"/>
    <d v="2018-09-26T00:00:00"/>
    <s v="Nina Ferreira"/>
    <x v="8"/>
    <x v="9"/>
    <s v="Mysore"/>
    <x v="1"/>
    <n v="2094"/>
    <n v="948"/>
  </r>
  <r>
    <s v="KL-2018-5607143"/>
    <d v="2018-09-26T00:00:00"/>
    <s v="Priya Weber"/>
    <x v="4"/>
    <x v="19"/>
    <s v="Amsterdam"/>
    <x v="2"/>
    <n v="3460"/>
    <n v="2293"/>
  </r>
  <r>
    <s v="KL-2018-5607520"/>
    <d v="2018-09-26T00:00:00"/>
    <s v="Ria Ramos"/>
    <x v="3"/>
    <x v="3"/>
    <s v="Vienna"/>
    <x v="2"/>
    <n v="4503"/>
    <n v="2986"/>
  </r>
  <r>
    <s v="KL-2018-5607065"/>
    <d v="2020-10-26T00:00:00"/>
    <s v="Elsa Kane"/>
    <x v="3"/>
    <x v="3"/>
    <s v="Vienna"/>
    <x v="2"/>
    <n v="2061"/>
    <n v="1295"/>
  </r>
  <r>
    <s v="KL-2018-5607228"/>
    <d v="2020-10-26T00:00:00"/>
    <s v="Elsa Andersen"/>
    <x v="6"/>
    <x v="11"/>
    <s v="Copenhagen"/>
    <x v="0"/>
    <n v="3548"/>
    <n v="1652"/>
  </r>
  <r>
    <s v="KL-2018-5607279"/>
    <d v="2019-11-26T00:00:00"/>
    <s v="Sasha Schneider"/>
    <x v="6"/>
    <x v="11"/>
    <s v="Frederiksberg"/>
    <x v="0"/>
    <n v="5596"/>
    <n v="2585"/>
  </r>
  <r>
    <s v="KL-2018-5607461"/>
    <d v="2018-12-26T00:00:00"/>
    <s v="Yuki Muller"/>
    <x v="8"/>
    <x v="20"/>
    <s v="Patna"/>
    <x v="1"/>
    <n v="1514"/>
    <n v="1112"/>
  </r>
  <r>
    <s v="KL-2018-5607391"/>
    <d v="2020-12-26T00:00:00"/>
    <s v="Marcus Lindqvist"/>
    <x v="5"/>
    <x v="21"/>
    <s v="Radom"/>
    <x v="0"/>
    <n v="3897"/>
    <n v="2091"/>
  </r>
  <r>
    <s v="KL-2018-5607245"/>
    <d v="2019-01-27T00:00:00"/>
    <s v="Priya Petrov"/>
    <x v="3"/>
    <x v="3"/>
    <s v="Vienna"/>
    <x v="2"/>
    <n v="2519"/>
    <n v="1737"/>
  </r>
  <r>
    <s v="KL-2018-5607066"/>
    <d v="2019-04-27T00:00:00"/>
    <s v="Fatima Neal"/>
    <x v="0"/>
    <x v="0"/>
    <s v="Stockholm"/>
    <x v="0"/>
    <n v="2171"/>
    <n v="1249"/>
  </r>
  <r>
    <s v="KL-2018-5607189"/>
    <d v="2020-04-27T00:00:00"/>
    <s v="Carlos Kim"/>
    <x v="2"/>
    <x v="16"/>
    <s v="Brussels"/>
    <x v="2"/>
    <n v="4060"/>
    <n v="2346"/>
  </r>
  <r>
    <s v="KL-2018-5607134"/>
    <d v="2018-05-27T00:00:00"/>
    <s v="Abbot Kane"/>
    <x v="8"/>
    <x v="12"/>
    <s v="New Delhi"/>
    <x v="1"/>
    <n v="2518"/>
    <n v="1487"/>
  </r>
  <r>
    <s v="KL-2018-5607112"/>
    <d v="2020-05-27T00:00:00"/>
    <s v="Nina Schneider"/>
    <x v="9"/>
    <x v="15"/>
    <s v="Augsburg"/>
    <x v="2"/>
    <n v="4295"/>
    <n v="1949"/>
  </r>
  <r>
    <s v="KL-2018-5607266"/>
    <d v="2019-06-27T00:00:00"/>
    <s v="Patrick Foster"/>
    <x v="0"/>
    <x v="17"/>
    <s v="Malmo"/>
    <x v="0"/>
    <n v="5579"/>
    <n v="3998"/>
  </r>
  <r>
    <s v="KL-2018-5607439"/>
    <d v="2019-06-27T00:00:00"/>
    <s v="Wendy Hodges"/>
    <x v="6"/>
    <x v="6"/>
    <s v="Esbjerg"/>
    <x v="0"/>
    <n v="3261"/>
    <n v="2285"/>
  </r>
  <r>
    <s v="KL-2018-5607186"/>
    <d v="2020-06-27T00:00:00"/>
    <s v="Hedda Hodges"/>
    <x v="7"/>
    <x v="7"/>
    <s v="Villiers-sur-Marne"/>
    <x v="2"/>
    <n v="2533"/>
    <n v="1348"/>
  </r>
  <r>
    <s v="KL-2018-5607529"/>
    <d v="2018-07-27T00:00:00"/>
    <s v="Ingrid Ferreira"/>
    <x v="1"/>
    <x v="18"/>
    <s v="Girona"/>
    <x v="1"/>
    <n v="3663"/>
    <n v="2158"/>
  </r>
  <r>
    <s v="KL-2018-5607278"/>
    <d v="2019-07-27T00:00:00"/>
    <s v="Tobias Eriksson"/>
    <x v="0"/>
    <x v="0"/>
    <s v="Stockholm"/>
    <x v="0"/>
    <n v="2292"/>
    <n v="1302"/>
  </r>
  <r>
    <s v="KL-2018-5607166"/>
    <d v="2018-09-27T00:00:00"/>
    <s v="Henry Patel"/>
    <x v="7"/>
    <x v="22"/>
    <s v="Marseille"/>
    <x v="2"/>
    <n v="3144"/>
    <n v="1539"/>
  </r>
  <r>
    <s v="KL-2018-5607335"/>
    <d v="2020-09-27T00:00:00"/>
    <s v="Rosa Ferreira"/>
    <x v="4"/>
    <x v="4"/>
    <s v="Rotterdam"/>
    <x v="2"/>
    <n v="4385"/>
    <n v="2195"/>
  </r>
  <r>
    <s v="KL-2018-5607336"/>
    <d v="2020-09-27T00:00:00"/>
    <s v="Stella Dubois"/>
    <x v="3"/>
    <x v="3"/>
    <s v="Vienna"/>
    <x v="2"/>
    <n v="1897"/>
    <n v="1288"/>
  </r>
  <r>
    <s v="KL-2018-5607292"/>
    <d v="2018-10-27T00:00:00"/>
    <s v="Priya Noel"/>
    <x v="8"/>
    <x v="10"/>
    <s v="Pune"/>
    <x v="1"/>
    <n v="5123"/>
    <n v="3313"/>
  </r>
  <r>
    <s v="KL-2018-5607198"/>
    <d v="2019-10-27T00:00:00"/>
    <s v="Rashid Fischer"/>
    <x v="0"/>
    <x v="0"/>
    <s v="Stockholm"/>
    <x v="0"/>
    <n v="2774"/>
    <n v="1379"/>
  </r>
  <r>
    <s v="KL-2018-5607208"/>
    <d v="2019-11-27T00:00:00"/>
    <s v="Kiona Rivera"/>
    <x v="6"/>
    <x v="11"/>
    <s v="Copenhagen"/>
    <x v="0"/>
    <n v="5846"/>
    <n v="3525"/>
  </r>
  <r>
    <s v="KL-2018-5607142"/>
    <d v="2020-11-27T00:00:00"/>
    <s v="Leon Ahmed"/>
    <x v="4"/>
    <x v="4"/>
    <s v="Rotterdam"/>
    <x v="2"/>
    <n v="3167"/>
    <n v="1678"/>
  </r>
  <r>
    <s v="KL-2018-5607298"/>
    <d v="2018-12-27T00:00:00"/>
    <s v="Sopoline Hassan"/>
    <x v="4"/>
    <x v="19"/>
    <s v="Haarlem"/>
    <x v="2"/>
    <n v="1806"/>
    <n v="817"/>
  </r>
  <r>
    <s v="KL-2018-5607289"/>
    <d v="2019-12-27T00:00:00"/>
    <s v="Hugo Ramos"/>
    <x v="8"/>
    <x v="9"/>
    <s v="Bangalore"/>
    <x v="1"/>
    <n v="3519"/>
    <n v="1878"/>
  </r>
  <r>
    <s v="KL-2018-5607102"/>
    <d v="2019-03-28T00:00:00"/>
    <s v="Isla Moore"/>
    <x v="8"/>
    <x v="9"/>
    <s v="Mysore"/>
    <x v="1"/>
    <n v="1737"/>
    <n v="984"/>
  </r>
  <r>
    <s v="KL-2018-5607232"/>
    <d v="2019-04-28T00:00:00"/>
    <s v="Yuki Hodges"/>
    <x v="7"/>
    <x v="7"/>
    <s v="Villiers-sur-Marne"/>
    <x v="2"/>
    <n v="4110"/>
    <n v="2997"/>
  </r>
  <r>
    <s v="KL-2018-5607200"/>
    <d v="2020-04-28T00:00:00"/>
    <s v="Marcus Foster"/>
    <x v="5"/>
    <x v="21"/>
    <s v="Radom"/>
    <x v="0"/>
    <n v="5021"/>
    <n v="2426"/>
  </r>
  <r>
    <s v="KL-2018-5607032"/>
    <d v="2018-06-28T00:00:00"/>
    <s v="Andre Costa"/>
    <x v="3"/>
    <x v="3"/>
    <s v="Vienna"/>
    <x v="2"/>
    <n v="3291"/>
    <n v="1710"/>
  </r>
  <r>
    <s v="KL-2018-5607389"/>
    <d v="2018-06-28T00:00:00"/>
    <s v="Bruno Neal"/>
    <x v="1"/>
    <x v="1"/>
    <s v="Alicante"/>
    <x v="1"/>
    <n v="4372"/>
    <n v="3096"/>
  </r>
  <r>
    <s v="KL-2018-5607385"/>
    <d v="2020-06-28T00:00:00"/>
    <s v="Isla Kane"/>
    <x v="9"/>
    <x v="15"/>
    <s v="Munich"/>
    <x v="2"/>
    <n v="3306"/>
    <n v="1777"/>
  </r>
  <r>
    <s v="KL-2018-5607442"/>
    <d v="2018-07-28T00:00:00"/>
    <s v="Raymond Neal"/>
    <x v="3"/>
    <x v="3"/>
    <s v="Vienna"/>
    <x v="2"/>
    <n v="2570"/>
    <n v="1309"/>
  </r>
  <r>
    <s v="KL-2018-5607163"/>
    <d v="2019-08-28T00:00:00"/>
    <s v="Lana Johansson"/>
    <x v="2"/>
    <x v="16"/>
    <s v="Brussels"/>
    <x v="2"/>
    <n v="1901"/>
    <n v="1374"/>
  </r>
  <r>
    <s v="KL-2018-5607168"/>
    <d v="2019-08-28T00:00:00"/>
    <s v="Ivan Rivera"/>
    <x v="9"/>
    <x v="14"/>
    <s v="Bielefeld"/>
    <x v="2"/>
    <n v="2653"/>
    <n v="1794"/>
  </r>
  <r>
    <s v="KL-2018-5607498"/>
    <d v="2018-09-28T00:00:00"/>
    <s v="Patrick Dejesus"/>
    <x v="0"/>
    <x v="0"/>
    <s v="Stockholm"/>
    <x v="0"/>
    <n v="3567"/>
    <n v="2256"/>
  </r>
  <r>
    <s v="KL-2018-5607213"/>
    <d v="2019-09-28T00:00:00"/>
    <s v="Mei Weber"/>
    <x v="3"/>
    <x v="3"/>
    <s v="Vienna"/>
    <x v="2"/>
    <n v="3851"/>
    <n v="1821"/>
  </r>
  <r>
    <s v="KL-2018-5607244"/>
    <d v="2019-09-28T00:00:00"/>
    <s v="Tariq Hassan"/>
    <x v="5"/>
    <x v="5"/>
    <s v="Tarnow"/>
    <x v="0"/>
    <n v="1799"/>
    <n v="1216"/>
  </r>
  <r>
    <s v="KL-2018-5607187"/>
    <d v="2019-10-28T00:00:00"/>
    <s v="Yuki Lindqvist"/>
    <x v="5"/>
    <x v="5"/>
    <s v="Tarnow"/>
    <x v="0"/>
    <n v="5641"/>
    <n v="3563"/>
  </r>
  <r>
    <s v="KL-2018-5607047"/>
    <d v="2019-11-28T00:00:00"/>
    <s v="Wendy Patel"/>
    <x v="2"/>
    <x v="2"/>
    <s v="Mechelen"/>
    <x v="2"/>
    <n v="1526"/>
    <n v="1123"/>
  </r>
  <r>
    <s v="KL-2018-5607414"/>
    <d v="2018-01-29T00:00:00"/>
    <s v="Ingrid Foster"/>
    <x v="3"/>
    <x v="3"/>
    <s v="Vienna"/>
    <x v="2"/>
    <n v="5650"/>
    <n v="3028"/>
  </r>
  <r>
    <s v="KL-2018-5607370"/>
    <d v="2019-03-29T00:00:00"/>
    <s v="Bruno Schneider"/>
    <x v="2"/>
    <x v="16"/>
    <s v="Brussels"/>
    <x v="2"/>
    <n v="4325"/>
    <n v="3240"/>
  </r>
  <r>
    <s v="KL-2018-5607459"/>
    <d v="2018-05-29T00:00:00"/>
    <s v="Leon Bergmann"/>
    <x v="2"/>
    <x v="2"/>
    <s v="Mechelen"/>
    <x v="2"/>
    <n v="3972"/>
    <n v="2171"/>
  </r>
  <r>
    <s v="KL-2018-5607181"/>
    <d v="2019-05-29T00:00:00"/>
    <s v="Stella Neal"/>
    <x v="3"/>
    <x v="3"/>
    <s v="Vienna"/>
    <x v="2"/>
    <n v="4434"/>
    <n v="3046"/>
  </r>
  <r>
    <s v="KL-2018-5607176"/>
    <d v="2020-06-29T00:00:00"/>
    <s v="Guinevere Schneider"/>
    <x v="9"/>
    <x v="15"/>
    <s v="Nuremberg"/>
    <x v="2"/>
    <n v="5960"/>
    <n v="4294"/>
  </r>
  <r>
    <s v="KL-2018-5607405"/>
    <d v="2018-07-29T00:00:00"/>
    <s v="Aristotle Okafor"/>
    <x v="7"/>
    <x v="22"/>
    <s v="Marseille"/>
    <x v="2"/>
    <n v="4635"/>
    <n v="3161"/>
  </r>
  <r>
    <s v="KL-2018-5607342"/>
    <d v="2020-07-29T00:00:00"/>
    <s v="Diana Sullivan"/>
    <x v="1"/>
    <x v="18"/>
    <s v="Barcelona"/>
    <x v="1"/>
    <n v="1759"/>
    <n v="840"/>
  </r>
  <r>
    <s v="KL-2018-5607495"/>
    <d v="2020-08-29T00:00:00"/>
    <s v="Andre Nakamura"/>
    <x v="7"/>
    <x v="22"/>
    <s v="Marseille"/>
    <x v="2"/>
    <n v="3618"/>
    <n v="2441"/>
  </r>
  <r>
    <s v="KL-2018-5607144"/>
    <d v="2019-09-29T00:00:00"/>
    <s v="Sasha Bowers"/>
    <x v="5"/>
    <x v="5"/>
    <s v="Krakow"/>
    <x v="0"/>
    <n v="3340"/>
    <n v="2497"/>
  </r>
  <r>
    <s v="KL-2018-5607306"/>
    <d v="2019-09-29T00:00:00"/>
    <s v="Alicia Neal"/>
    <x v="8"/>
    <x v="12"/>
    <s v="New Delhi"/>
    <x v="1"/>
    <n v="3295"/>
    <n v="2429"/>
  </r>
  <r>
    <s v="KL-2018-5607175"/>
    <d v="2020-09-29T00:00:00"/>
    <s v="Tobias Andersen"/>
    <x v="8"/>
    <x v="10"/>
    <s v="Nagpur"/>
    <x v="1"/>
    <n v="4535"/>
    <n v="2336"/>
  </r>
  <r>
    <s v="KL-2018-5607039"/>
    <d v="2019-12-29T00:00:00"/>
    <s v="Ria Johansson"/>
    <x v="8"/>
    <x v="10"/>
    <s v="Nagpur"/>
    <x v="1"/>
    <n v="2901"/>
    <n v="1770"/>
  </r>
  <r>
    <s v="KL-2018-5607368"/>
    <d v="2019-12-29T00:00:00"/>
    <s v="Georgia Ferreira"/>
    <x v="0"/>
    <x v="0"/>
    <s v="Solna"/>
    <x v="0"/>
    <n v="4216"/>
    <n v="3118"/>
  </r>
  <r>
    <s v="KL-2018-5607515"/>
    <d v="2020-12-29T00:00:00"/>
    <s v="Dahlia Ramos"/>
    <x v="7"/>
    <x v="7"/>
    <s v="Paris"/>
    <x v="2"/>
    <n v="5850"/>
    <n v="2966"/>
  </r>
  <r>
    <s v="KL-2018-5607122"/>
    <d v="2019-01-30T00:00:00"/>
    <s v="Amara Neal"/>
    <x v="5"/>
    <x v="21"/>
    <s v="Warsaw"/>
    <x v="0"/>
    <n v="3272"/>
    <n v="2197"/>
  </r>
  <r>
    <s v="KL-2018-5607300"/>
    <d v="2019-01-30T00:00:00"/>
    <s v="Wendy Rivera"/>
    <x v="6"/>
    <x v="6"/>
    <s v="Odense"/>
    <x v="0"/>
    <n v="3025"/>
    <n v="1374"/>
  </r>
  <r>
    <s v="KL-2018-5607174"/>
    <d v="2020-01-30T00:00:00"/>
    <s v="Nina Santos"/>
    <x v="5"/>
    <x v="5"/>
    <s v="Krakow"/>
    <x v="0"/>
    <n v="4898"/>
    <n v="3166"/>
  </r>
  <r>
    <s v="KL-2018-5607476"/>
    <d v="2020-01-30T00:00:00"/>
    <s v="Yuki Schneider"/>
    <x v="6"/>
    <x v="6"/>
    <s v="Esbjerg"/>
    <x v="0"/>
    <n v="3656"/>
    <n v="2127"/>
  </r>
  <r>
    <s v="KL-2018-5607036"/>
    <d v="2018-03-30T00:00:00"/>
    <s v="Rosa Kim"/>
    <x v="5"/>
    <x v="21"/>
    <s v="Radom"/>
    <x v="0"/>
    <n v="2145"/>
    <n v="1320"/>
  </r>
  <r>
    <s v="KL-2018-5607064"/>
    <d v="2018-04-30T00:00:00"/>
    <s v="Andre Dubois"/>
    <x v="3"/>
    <x v="3"/>
    <s v="Vienna"/>
    <x v="2"/>
    <n v="1910"/>
    <n v="1194"/>
  </r>
  <r>
    <s v="KL-2018-5607146"/>
    <d v="2020-04-30T00:00:00"/>
    <s v="Samuel Osei"/>
    <x v="1"/>
    <x v="18"/>
    <s v="Barcelona"/>
    <x v="1"/>
    <n v="4642"/>
    <n v="2354"/>
  </r>
  <r>
    <s v="KL-2018-5607517"/>
    <d v="2018-07-30T00:00:00"/>
    <s v="Yuki Russo"/>
    <x v="0"/>
    <x v="17"/>
    <s v="Malmo"/>
    <x v="0"/>
    <n v="2034"/>
    <n v="1418"/>
  </r>
  <r>
    <s v="KL-2018-5607205"/>
    <d v="2020-07-30T00:00:00"/>
    <s v="Hedda Okafor"/>
    <x v="0"/>
    <x v="17"/>
    <s v="Helsingborg"/>
    <x v="0"/>
    <n v="4921"/>
    <n v="2641"/>
  </r>
  <r>
    <s v="KL-2018-5607255"/>
    <d v="2018-08-30T00:00:00"/>
    <s v="Ingrid Barnes"/>
    <x v="4"/>
    <x v="19"/>
    <s v="Haarlem"/>
    <x v="2"/>
    <n v="5523"/>
    <n v="2817"/>
  </r>
  <r>
    <s v="KL-2018-5607525"/>
    <d v="2018-08-30T00:00:00"/>
    <s v="Priya Neal"/>
    <x v="9"/>
    <x v="14"/>
    <s v="Bielefeld"/>
    <x v="2"/>
    <n v="3136"/>
    <n v="2143"/>
  </r>
  <r>
    <s v="KL-2018-5607406"/>
    <d v="2018-09-30T00:00:00"/>
    <s v="Patrick Eriksson"/>
    <x v="6"/>
    <x v="11"/>
    <s v="Copenhagen"/>
    <x v="0"/>
    <n v="2844"/>
    <n v="1655"/>
  </r>
  <r>
    <s v="KL-2018-5607519"/>
    <d v="2020-09-30T00:00:00"/>
    <s v="Nadia Porter"/>
    <x v="6"/>
    <x v="6"/>
    <s v="Esbjerg"/>
    <x v="0"/>
    <n v="3371"/>
    <n v="1743"/>
  </r>
  <r>
    <s v="KL-2018-5607096"/>
    <d v="2020-10-30T00:00:00"/>
    <s v="Clara Nakamura"/>
    <x v="4"/>
    <x v="19"/>
    <s v="Haarlem"/>
    <x v="2"/>
    <n v="5186"/>
    <n v="2736"/>
  </r>
  <r>
    <s v="KL-2018-5607434"/>
    <d v="2020-11-30T00:00:00"/>
    <s v="Omar Santos"/>
    <x v="7"/>
    <x v="22"/>
    <s v="Marseille"/>
    <x v="2"/>
    <n v="2282"/>
    <n v="1372"/>
  </r>
  <r>
    <s v="KL-2018-5607397"/>
    <d v="2020-12-30T00:00:00"/>
    <s v="Fatima Foster"/>
    <x v="2"/>
    <x v="2"/>
    <s v="Mechelen"/>
    <x v="2"/>
    <n v="3699"/>
    <n v="2022"/>
  </r>
  <r>
    <s v="KL-2018-5607061"/>
    <d v="2018-01-31T00:00:00"/>
    <s v="Henry Sullivan"/>
    <x v="6"/>
    <x v="6"/>
    <s v="Odense"/>
    <x v="0"/>
    <n v="5443"/>
    <n v="2798"/>
  </r>
  <r>
    <s v="KL-2018-5607231"/>
    <d v="2019-03-31T00:00:00"/>
    <s v="Bruno Petrov"/>
    <x v="3"/>
    <x v="3"/>
    <s v="Vienna"/>
    <x v="2"/>
    <n v="4747"/>
    <n v="2851"/>
  </r>
  <r>
    <s v="KL-2018-5607127"/>
    <d v="2020-03-31T00:00:00"/>
    <s v="Isla Livingston"/>
    <x v="0"/>
    <x v="0"/>
    <s v="Stockholm"/>
    <x v="0"/>
    <n v="2722"/>
    <n v="1887"/>
  </r>
  <r>
    <s v="KL-2018-5607443"/>
    <d v="2020-03-31T00:00:00"/>
    <s v="Leon Eriksson"/>
    <x v="9"/>
    <x v="15"/>
    <s v="Augsburg"/>
    <x v="2"/>
    <n v="3620"/>
    <n v="2625"/>
  </r>
  <r>
    <s v="KL-2018-5607340"/>
    <d v="2020-05-31T00:00:00"/>
    <s v="Stella Barrett"/>
    <x v="9"/>
    <x v="15"/>
    <s v="Munich"/>
    <x v="2"/>
    <n v="3474"/>
    <n v="1763"/>
  </r>
  <r>
    <s v="KL-2018-5607369"/>
    <d v="2020-05-31T00:00:00"/>
    <s v="Aristotle Bowers"/>
    <x v="9"/>
    <x v="14"/>
    <s v="Bielefeld"/>
    <x v="2"/>
    <n v="5683"/>
    <n v="3830"/>
  </r>
  <r>
    <s v="KL-2018-5607345"/>
    <d v="2020-08-31T00:00:00"/>
    <s v="Marcus Noel"/>
    <x v="9"/>
    <x v="15"/>
    <s v="Nuremberg"/>
    <x v="2"/>
    <n v="5948"/>
    <n v="368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South"/>
    <x v="0"/>
    <n v="2838"/>
  </r>
  <r>
    <s v="East"/>
    <x v="1"/>
    <n v="3035"/>
  </r>
  <r>
    <s v="South"/>
    <x v="1"/>
    <n v="3048"/>
  </r>
  <r>
    <s v="East"/>
    <x v="0"/>
    <n v="2750"/>
  </r>
  <r>
    <s v="North"/>
    <x v="1"/>
    <n v="3305"/>
  </r>
  <r>
    <s v="West"/>
    <x v="0"/>
    <n v="3116"/>
  </r>
  <r>
    <s v="South"/>
    <x v="1"/>
    <n v="3048"/>
  </r>
  <r>
    <s v="East"/>
    <x v="0"/>
    <n v="2750"/>
  </r>
  <r>
    <s v="North"/>
    <x v="1"/>
    <n v="3305"/>
  </r>
  <r>
    <s v="West"/>
    <x v="0"/>
    <n v="3116"/>
  </r>
  <r>
    <s v="West"/>
    <x v="0"/>
    <n v="5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s v="North"/>
    <s v="ANDHRA PRADESH"/>
    <s v="VIJAYAWADA"/>
    <n v="50"/>
    <n v="32500"/>
  </r>
  <r>
    <n v="1002"/>
    <x v="1"/>
    <x v="1"/>
    <s v="South"/>
    <s v="ASSAM"/>
    <s v="DHUBRI"/>
    <n v="67"/>
    <n v="45895"/>
  </r>
  <r>
    <n v="1003"/>
    <x v="2"/>
    <x v="2"/>
    <s v="East"/>
    <s v="BIHAR"/>
    <s v="PATNA"/>
    <n v="84"/>
    <n v="60480"/>
  </r>
  <r>
    <n v="1004"/>
    <x v="3"/>
    <x v="3"/>
    <s v="West"/>
    <s v="JHARKHAND"/>
    <s v="RANCHI"/>
    <n v="101"/>
    <n v="76255"/>
  </r>
  <r>
    <n v="1005"/>
    <x v="4"/>
    <x v="4"/>
    <s v="Central"/>
    <s v="MADHYA PRADESH"/>
    <s v="INDORE"/>
    <n v="118"/>
    <n v="93220"/>
  </r>
  <r>
    <n v="1006"/>
    <x v="5"/>
    <x v="5"/>
    <s v="North"/>
    <s v="MAHARASHTRA"/>
    <s v="AMRAVATI"/>
    <n v="135"/>
    <n v="111375"/>
  </r>
  <r>
    <n v="1007"/>
    <x v="0"/>
    <x v="6"/>
    <s v="South"/>
    <s v="RAJASTHAN"/>
    <s v="JAIPUR"/>
    <n v="152"/>
    <n v="130720"/>
  </r>
  <r>
    <n v="1008"/>
    <x v="1"/>
    <x v="7"/>
    <s v="East"/>
    <s v="WEST BENGAL"/>
    <s v="KOLKATA"/>
    <n v="169"/>
    <n v="109850"/>
  </r>
  <r>
    <n v="1009"/>
    <x v="2"/>
    <x v="8"/>
    <s v="West"/>
    <s v="KARNATAKA"/>
    <s v="MYSORE"/>
    <n v="186"/>
    <n v="127410"/>
  </r>
  <r>
    <n v="1010"/>
    <x v="3"/>
    <x v="9"/>
    <s v="Central"/>
    <s v="TAMIL NADU"/>
    <s v="CHENNAI"/>
    <n v="203"/>
    <n v="146160"/>
  </r>
  <r>
    <n v="1011"/>
    <x v="4"/>
    <x v="10"/>
    <s v="North"/>
    <s v="ANDHRA PRADESH"/>
    <s v="VIJAYAWADA"/>
    <n v="220"/>
    <n v="166100"/>
  </r>
  <r>
    <n v="1012"/>
    <x v="5"/>
    <x v="11"/>
    <s v="South"/>
    <s v="ASSAM"/>
    <s v="DHUBRI"/>
    <n v="237"/>
    <n v="187230"/>
  </r>
  <r>
    <n v="1013"/>
    <x v="0"/>
    <x v="0"/>
    <s v="East"/>
    <s v="BIHAR"/>
    <s v="PATNA"/>
    <n v="254"/>
    <n v="209550"/>
  </r>
  <r>
    <n v="1014"/>
    <x v="1"/>
    <x v="1"/>
    <s v="West"/>
    <s v="JHARKHAND"/>
    <s v="RANCHI"/>
    <n v="271"/>
    <n v="233060"/>
  </r>
  <r>
    <n v="1015"/>
    <x v="2"/>
    <x v="2"/>
    <s v="Central"/>
    <s v="MADHYA PRADESH"/>
    <s v="INDORE"/>
    <n v="288"/>
    <n v="187200"/>
  </r>
  <r>
    <n v="1016"/>
    <x v="3"/>
    <x v="3"/>
    <s v="North"/>
    <s v="MAHARASHTRA"/>
    <s v="AMRAVATI"/>
    <n v="305"/>
    <n v="208925"/>
  </r>
  <r>
    <n v="1017"/>
    <x v="4"/>
    <x v="4"/>
    <s v="South"/>
    <s v="RAJASTHAN"/>
    <s v="JAIPUR"/>
    <n v="322"/>
    <n v="231840"/>
  </r>
  <r>
    <n v="1018"/>
    <x v="5"/>
    <x v="5"/>
    <s v="East"/>
    <s v="WEST BENGAL"/>
    <s v="KOLKATA"/>
    <n v="339"/>
    <n v="255945"/>
  </r>
  <r>
    <n v="1019"/>
    <x v="0"/>
    <x v="6"/>
    <s v="West"/>
    <s v="KARNATAKA"/>
    <s v="MYSORE"/>
    <n v="356"/>
    <n v="281240"/>
  </r>
  <r>
    <n v="1020"/>
    <x v="1"/>
    <x v="7"/>
    <s v="Central"/>
    <s v="TAMIL NADU"/>
    <s v="CHENNAI"/>
    <n v="373"/>
    <n v="307725"/>
  </r>
  <r>
    <n v="1021"/>
    <x v="2"/>
    <x v="8"/>
    <s v="North"/>
    <s v="ANDHRA PRADESH"/>
    <s v="VIJAYAWADA"/>
    <n v="390"/>
    <n v="335400"/>
  </r>
  <r>
    <n v="1022"/>
    <x v="3"/>
    <x v="9"/>
    <s v="South"/>
    <s v="ASSAM"/>
    <s v="DHUBRI"/>
    <n v="407"/>
    <n v="264550"/>
  </r>
  <r>
    <n v="1023"/>
    <x v="4"/>
    <x v="10"/>
    <s v="East"/>
    <s v="BIHAR"/>
    <s v="PATNA"/>
    <n v="424"/>
    <n v="290440"/>
  </r>
  <r>
    <n v="1024"/>
    <x v="5"/>
    <x v="11"/>
    <s v="West"/>
    <s v="JHARKHAND"/>
    <s v="RANCHI"/>
    <n v="441"/>
    <n v="317520"/>
  </r>
  <r>
    <n v="1025"/>
    <x v="0"/>
    <x v="0"/>
    <s v="Central"/>
    <s v="MADHYA PRADESH"/>
    <s v="INDORE"/>
    <n v="57"/>
    <n v="43035"/>
  </r>
  <r>
    <n v="1026"/>
    <x v="1"/>
    <x v="1"/>
    <s v="North"/>
    <s v="MAHARASHTRA"/>
    <s v="AMRAVATI"/>
    <n v="74"/>
    <n v="58460"/>
  </r>
  <r>
    <n v="1027"/>
    <x v="2"/>
    <x v="2"/>
    <s v="South"/>
    <s v="RAJASTHAN"/>
    <s v="JAIPUR"/>
    <n v="91"/>
    <n v="75075"/>
  </r>
  <r>
    <n v="1028"/>
    <x v="3"/>
    <x v="3"/>
    <s v="East"/>
    <s v="WEST BENGAL"/>
    <s v="KOLKATA"/>
    <n v="108"/>
    <n v="92880"/>
  </r>
  <r>
    <n v="1029"/>
    <x v="4"/>
    <x v="4"/>
    <s v="West"/>
    <s v="KARNATAKA"/>
    <s v="MYSORE"/>
    <n v="125"/>
    <n v="81250"/>
  </r>
  <r>
    <n v="1030"/>
    <x v="5"/>
    <x v="5"/>
    <s v="Central"/>
    <s v="TAMIL NADU"/>
    <s v="CHENNAI"/>
    <n v="142"/>
    <n v="97270"/>
  </r>
  <r>
    <n v="1031"/>
    <x v="0"/>
    <x v="6"/>
    <s v="North"/>
    <s v="ANDHRA PRADESH"/>
    <s v="VIJAYAWADA"/>
    <n v="159"/>
    <n v="114480"/>
  </r>
  <r>
    <n v="1032"/>
    <x v="1"/>
    <x v="7"/>
    <s v="South"/>
    <s v="ASSAM"/>
    <s v="DHUBRI"/>
    <n v="176"/>
    <n v="132880"/>
  </r>
  <r>
    <n v="1033"/>
    <x v="2"/>
    <x v="8"/>
    <s v="East"/>
    <s v="BIHAR"/>
    <s v="PATNA"/>
    <n v="193"/>
    <n v="152470"/>
  </r>
  <r>
    <n v="1034"/>
    <x v="3"/>
    <x v="9"/>
    <s v="West"/>
    <s v="JHARKHAND"/>
    <s v="RANCHI"/>
    <n v="210"/>
    <n v="173250"/>
  </r>
  <r>
    <n v="1035"/>
    <x v="4"/>
    <x v="10"/>
    <s v="Central"/>
    <s v="MADHYA PRADESH"/>
    <s v="INDORE"/>
    <n v="227"/>
    <n v="195220"/>
  </r>
  <r>
    <n v="1036"/>
    <x v="5"/>
    <x v="11"/>
    <s v="North"/>
    <s v="MAHARASHTRA"/>
    <s v="AMRAVATI"/>
    <n v="244"/>
    <n v="158600"/>
  </r>
  <r>
    <n v="1037"/>
    <x v="0"/>
    <x v="0"/>
    <s v="South"/>
    <s v="RAJASTHAN"/>
    <s v="JAIPUR"/>
    <n v="261"/>
    <n v="178785"/>
  </r>
  <r>
    <n v="1038"/>
    <x v="1"/>
    <x v="1"/>
    <s v="East"/>
    <s v="WEST BENGAL"/>
    <s v="KOLKATA"/>
    <n v="278"/>
    <n v="200160"/>
  </r>
  <r>
    <n v="1039"/>
    <x v="2"/>
    <x v="2"/>
    <s v="West"/>
    <s v="KARNATAKA"/>
    <s v="MYSORE"/>
    <n v="295"/>
    <n v="222725"/>
  </r>
  <r>
    <n v="1040"/>
    <x v="3"/>
    <x v="3"/>
    <s v="Central"/>
    <s v="TAMIL NADU"/>
    <s v="CHENNAI"/>
    <n v="312"/>
    <n v="246480"/>
  </r>
  <r>
    <n v="1041"/>
    <x v="4"/>
    <x v="4"/>
    <s v="North"/>
    <s v="ANDHRA PRADESH"/>
    <s v="VIJAYAWADA"/>
    <n v="329"/>
    <n v="271425"/>
  </r>
  <r>
    <n v="1042"/>
    <x v="5"/>
    <x v="5"/>
    <s v="South"/>
    <s v="ASSAM"/>
    <s v="DHUBRI"/>
    <n v="346"/>
    <n v="297560"/>
  </r>
  <r>
    <n v="1043"/>
    <x v="0"/>
    <x v="6"/>
    <s v="East"/>
    <s v="BIHAR"/>
    <s v="PATNA"/>
    <n v="363"/>
    <n v="235950"/>
  </r>
  <r>
    <n v="1044"/>
    <x v="1"/>
    <x v="7"/>
    <s v="West"/>
    <s v="JHARKHAND"/>
    <s v="RANCHI"/>
    <n v="380"/>
    <n v="260300"/>
  </r>
  <r>
    <n v="1045"/>
    <x v="2"/>
    <x v="8"/>
    <s v="Central"/>
    <s v="MADHYA PRADESH"/>
    <s v="INDORE"/>
    <n v="397"/>
    <n v="285840"/>
  </r>
  <r>
    <n v="1046"/>
    <x v="3"/>
    <x v="9"/>
    <s v="North"/>
    <s v="MAHARASHTRA"/>
    <s v="AMRAVATI"/>
    <n v="414"/>
    <n v="312570"/>
  </r>
  <r>
    <n v="1047"/>
    <x v="4"/>
    <x v="10"/>
    <s v="South"/>
    <s v="RAJASTHAN"/>
    <s v="JAIPUR"/>
    <n v="431"/>
    <n v="340490"/>
  </r>
  <r>
    <n v="1048"/>
    <x v="5"/>
    <x v="11"/>
    <s v="East"/>
    <s v="WEST BENGAL"/>
    <s v="KOLKATA"/>
    <n v="448"/>
    <n v="369600"/>
  </r>
  <r>
    <n v="1049"/>
    <x v="0"/>
    <x v="0"/>
    <s v="West"/>
    <s v="KARNATAKA"/>
    <s v="MYSORE"/>
    <n v="64"/>
    <n v="55040"/>
  </r>
  <r>
    <n v="1050"/>
    <x v="1"/>
    <x v="1"/>
    <s v="Central"/>
    <s v="TAMIL NADU"/>
    <s v="CHENNAI"/>
    <n v="81"/>
    <n v="526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4BF799-FC2C-4856-B419-38A540F69405}" name="PivotTable3"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C17" firstHeaderRow="0"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11">
        <item x="3"/>
        <item x="2"/>
        <item x="6"/>
        <item x="7"/>
        <item x="9"/>
        <item x="8"/>
        <item x="4"/>
        <item x="5"/>
        <item x="1"/>
        <item x="0"/>
        <item t="default"/>
      </items>
    </pivotField>
    <pivotField showAll="0"/>
    <pivotField showAll="0"/>
    <pivotField showAll="0"/>
    <pivotField dataField="1" showAll="0"/>
    <pivotField dataField="1" showAll="0"/>
    <pivotField axis="axisRow"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9"/>
    <field x="3"/>
  </rowFields>
  <rowItems count="14">
    <i>
      <x/>
    </i>
    <i r="1">
      <x/>
    </i>
    <i r="1">
      <x v="1"/>
    </i>
    <i r="1">
      <x v="2"/>
    </i>
    <i r="1">
      <x v="3"/>
    </i>
    <i>
      <x v="1"/>
    </i>
    <i r="1">
      <x v="4"/>
    </i>
    <i r="1">
      <x v="5"/>
    </i>
    <i r="1">
      <x v="6"/>
    </i>
    <i>
      <x v="2"/>
    </i>
    <i r="1">
      <x v="7"/>
    </i>
    <i r="1">
      <x v="8"/>
    </i>
    <i r="1">
      <x v="9"/>
    </i>
    <i t="grand">
      <x/>
    </i>
  </rowItems>
  <colFields count="1">
    <field x="-2"/>
  </colFields>
  <colItems count="2">
    <i>
      <x/>
    </i>
    <i i="1">
      <x v="1"/>
    </i>
  </colItems>
  <dataFields count="2">
    <dataField name="Sum of Sales" fld="7" baseField="0" baseItem="0"/>
    <dataField name="Sum of Profit" fld="8" baseField="0" baseItem="0"/>
  </dataFields>
  <pivotTableStyleInfo name="PivotStyleLight16" showRowHeaders="1" showColHeaders="1" showRowStripes="0" showColStripes="0" showLastColumn="1"/>
  <filters count="1">
    <filter fld="1" type="dateBetween" evalOrder="-1" id="83"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A97A95-3536-473F-A04E-6C6E4521542D}" name="PivotTable1" cacheId="7"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1">
  <location ref="A3:B8" firstHeaderRow="2" firstDataRow="2" firstDataCol="1"/>
  <pivotFields count="14">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1">
        <item x="3"/>
        <item x="2"/>
        <item x="6"/>
        <item x="7"/>
        <item x="9"/>
        <item x="8"/>
        <item x="4"/>
        <item x="5"/>
        <item x="1"/>
        <item x="0"/>
        <item t="default"/>
      </items>
    </pivotField>
    <pivotField compact="0" outline="0" showAll="0"/>
    <pivotField compact="0" outline="0" showAll="0"/>
    <pivotField axis="axisRow" compact="0" outline="0" showAll="0" sortType="descending">
      <items count="4">
        <item x="1"/>
        <item x="0"/>
        <item x="2"/>
        <item t="default"/>
      </items>
    </pivotField>
    <pivotField dataField="1" compact="0" outline="0" showAll="0"/>
    <pivotField compact="0" outline="0" showAll="0"/>
    <pivotField compact="0" outline="0" showAll="0">
      <items count="4">
        <item x="0"/>
        <item x="1"/>
        <item x="2"/>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6"/>
  </rowFields>
  <rowItems count="4">
    <i>
      <x/>
    </i>
    <i>
      <x v="1"/>
    </i>
    <i>
      <x v="2"/>
    </i>
    <i t="grand">
      <x/>
    </i>
  </rowItems>
  <colItems count="1">
    <i/>
  </colItems>
  <dataFields count="1">
    <dataField name="Sum of Sales" fld="7" baseField="0" baseItem="0"/>
  </dataFields>
  <formats count="7">
    <format dxfId="5">
      <pivotArea type="all" dataOnly="0" outline="0" fieldPosition="0"/>
    </format>
    <format dxfId="6">
      <pivotArea outline="0" collapsedLevelsAreSubtotals="1" fieldPosition="0"/>
    </format>
    <format dxfId="7">
      <pivotArea type="origin" dataOnly="0" labelOnly="1" outline="0" fieldPosition="0"/>
    </format>
    <format dxfId="8">
      <pivotArea field="6" type="button" dataOnly="0" labelOnly="1" outline="0" axis="axisRow" fieldPosition="0"/>
    </format>
    <format dxfId="9">
      <pivotArea dataOnly="0" labelOnly="1" outline="0" fieldPosition="0">
        <references count="1">
          <reference field="6" count="0"/>
        </references>
      </pivotArea>
    </format>
    <format dxfId="10">
      <pivotArea dataOnly="0" labelOnly="1" grandRow="1" outline="0" fieldPosition="0"/>
    </format>
    <format dxfId="11">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0476A9-7F4F-4BD9-BCA4-5107497D04BC}"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0:B27" firstHeaderRow="1" firstDataRow="1" firstDataCol="1" rowPageCount="1" colPageCount="1"/>
  <pivotFields count="9">
    <pivotField showAll="0"/>
    <pivotField numFmtId="14" showAll="0"/>
    <pivotField showAll="0"/>
    <pivotField showAll="0"/>
    <pivotField axis="axisRow" showAll="0">
      <items count="24">
        <item x="15"/>
        <item x="20"/>
        <item x="16"/>
        <item x="18"/>
        <item x="12"/>
        <item x="2"/>
        <item x="11"/>
        <item x="7"/>
        <item x="9"/>
        <item x="5"/>
        <item x="13"/>
        <item x="8"/>
        <item x="10"/>
        <item x="21"/>
        <item x="19"/>
        <item x="14"/>
        <item x="22"/>
        <item x="17"/>
        <item x="6"/>
        <item x="4"/>
        <item x="0"/>
        <item x="1"/>
        <item x="3"/>
        <item t="default"/>
      </items>
    </pivotField>
    <pivotField showAll="0"/>
    <pivotField axis="axisPage" showAll="0">
      <items count="4">
        <item x="2"/>
        <item x="0"/>
        <item x="1"/>
        <item t="default"/>
      </items>
    </pivotField>
    <pivotField dataField="1" showAll="0"/>
    <pivotField showAll="0"/>
  </pivotFields>
  <rowFields count="1">
    <field x="4"/>
  </rowFields>
  <rowItems count="7">
    <i>
      <x v="6"/>
    </i>
    <i>
      <x v="9"/>
    </i>
    <i>
      <x v="13"/>
    </i>
    <i>
      <x v="17"/>
    </i>
    <i>
      <x v="18"/>
    </i>
    <i>
      <x v="20"/>
    </i>
    <i t="grand">
      <x/>
    </i>
  </rowItems>
  <colItems count="1">
    <i/>
  </colItems>
  <pageFields count="1">
    <pageField fld="6" item="1" hier="-1"/>
  </pageFields>
  <dataFields count="1">
    <dataField name="Sum of Sales" fld="7" baseField="0" baseItem="0"/>
  </dataFields>
  <formats count="6">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6">
            <x v="6"/>
            <x v="9"/>
            <x v="13"/>
            <x v="17"/>
            <x v="18"/>
            <x v="20"/>
          </reference>
        </references>
      </pivotArea>
    </format>
    <format dxfId="13">
      <pivotArea dataOnly="0" labelOnly="1" grandRow="1" outline="0" fieldPosition="0"/>
    </format>
    <format dxfId="1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6"/>
          </reference>
        </references>
      </pivotArea>
    </chartFormat>
    <chartFormat chart="0" format="2">
      <pivotArea type="data" outline="0" fieldPosition="0">
        <references count="2">
          <reference field="4294967294" count="1" selected="0">
            <x v="0"/>
          </reference>
          <reference field="4" count="1" selected="0">
            <x v="9"/>
          </reference>
        </references>
      </pivotArea>
    </chartFormat>
    <chartFormat chart="0" format="3">
      <pivotArea type="data" outline="0" fieldPosition="0">
        <references count="2">
          <reference field="4294967294" count="1" selected="0">
            <x v="0"/>
          </reference>
          <reference field="4" count="1" selected="0">
            <x v="13"/>
          </reference>
        </references>
      </pivotArea>
    </chartFormat>
    <chartFormat chart="0" format="4">
      <pivotArea type="data" outline="0" fieldPosition="0">
        <references count="2">
          <reference field="4294967294" count="1" selected="0">
            <x v="0"/>
          </reference>
          <reference field="4" count="1" selected="0">
            <x v="17"/>
          </reference>
        </references>
      </pivotArea>
    </chartFormat>
    <chartFormat chart="0" format="5">
      <pivotArea type="data" outline="0" fieldPosition="0">
        <references count="2">
          <reference field="4294967294" count="1" selected="0">
            <x v="0"/>
          </reference>
          <reference field="4" count="1" selected="0">
            <x v="18"/>
          </reference>
        </references>
      </pivotArea>
    </chartFormat>
    <chartFormat chart="0" format="6">
      <pivotArea type="data" outline="0" fieldPosition="0">
        <references count="2">
          <reference field="4294967294" count="1" selected="0">
            <x v="0"/>
          </reference>
          <reference field="4"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DF4007-A45B-4E52-BF96-2821F63F0B40}"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2:B71" firstHeaderRow="1" firstDataRow="1" firstDataCol="1"/>
  <pivotFields count="14">
    <pivotField showAll="0"/>
    <pivotField showAll="0">
      <items count="15">
        <item x="0"/>
        <item x="1"/>
        <item x="2"/>
        <item x="3"/>
        <item x="4"/>
        <item x="5"/>
        <item x="6"/>
        <item x="7"/>
        <item x="8"/>
        <item x="9"/>
        <item x="10"/>
        <item x="11"/>
        <item x="12"/>
        <item x="13"/>
        <item t="default"/>
      </items>
    </pivotField>
    <pivotField showAll="0"/>
    <pivotField showAll="0">
      <items count="11">
        <item x="3"/>
        <item x="2"/>
        <item x="6"/>
        <item x="7"/>
        <item x="9"/>
        <item x="8"/>
        <item x="4"/>
        <item x="5"/>
        <item x="1"/>
        <item x="0"/>
        <item t="default"/>
      </items>
    </pivotField>
    <pivotField showAll="0"/>
    <pivotField axis="axisRow" showAll="0">
      <items count="49">
        <item x="40"/>
        <item x="29"/>
        <item x="45"/>
        <item x="12"/>
        <item x="37"/>
        <item x="18"/>
        <item x="42"/>
        <item x="22"/>
        <item x="31"/>
        <item x="14"/>
        <item x="47"/>
        <item x="9"/>
        <item x="30"/>
        <item x="1"/>
        <item x="32"/>
        <item x="27"/>
        <item x="28"/>
        <item x="16"/>
        <item x="35"/>
        <item x="5"/>
        <item x="46"/>
        <item x="26"/>
        <item x="8"/>
        <item x="23"/>
        <item x="41"/>
        <item x="2"/>
        <item x="33"/>
        <item x="21"/>
        <item x="44"/>
        <item x="13"/>
        <item x="15"/>
        <item x="43"/>
        <item x="39"/>
        <item x="6"/>
        <item x="19"/>
        <item x="36"/>
        <item x="20"/>
        <item x="34"/>
        <item x="25"/>
        <item x="0"/>
        <item x="11"/>
        <item x="24"/>
        <item x="4"/>
        <item x="10"/>
        <item x="17"/>
        <item x="3"/>
        <item x="7"/>
        <item x="38"/>
        <item t="default"/>
      </items>
    </pivotField>
    <pivotField showAll="0">
      <items count="4">
        <item x="2"/>
        <item x="0"/>
        <item x="1"/>
        <item t="default"/>
      </items>
    </pivotField>
    <pivotField dataField="1" showAll="0"/>
    <pivotField showAll="0"/>
    <pivotField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005254-7AC2-4CF3-8E85-A6D6392F03EC}" name="PivotTable2" cacheId="7" applyNumberFormats="0" applyBorderFormats="0" applyFontFormats="0" applyPatternFormats="0" applyAlignmentFormats="0" applyWidthHeightFormats="1" dataCaption="Values" updatedVersion="7" minRefreshableVersion="3" rowGrandTotals="0" colGrandTotals="0" itemPrintTitles="1" mergeItem="1" createdVersion="7" indent="0" compact="0" compactData="0" multipleFieldFilters="0">
  <location ref="A3:E17" firstHeaderRow="1" firstDataRow="2" firstDataCol="2"/>
  <pivotFields count="14">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axis="axisRow" compact="0" outline="0" showAll="0">
      <items count="11">
        <item x="3"/>
        <item x="2"/>
        <item x="6"/>
        <item x="7"/>
        <item x="9"/>
        <item x="8"/>
        <item x="4"/>
        <item x="5"/>
        <item x="1"/>
        <item x="0"/>
        <item t="default"/>
      </items>
    </pivotField>
    <pivotField compact="0" outline="0" showAll="0" sortType="ascending"/>
    <pivotField compact="0" outline="0" showAll="0"/>
    <pivotField axis="axisCol" compact="0" outline="0" showAll="0">
      <items count="4">
        <item x="2"/>
        <item x="0"/>
        <item x="1"/>
        <item t="default"/>
      </items>
    </pivotField>
    <pivotField dataField="1" compact="0" outline="0" showAll="0"/>
    <pivotField compact="0" outline="0" showAll="0"/>
    <pivotField axis="axisRow" compact="0" outline="0" showAll="0">
      <items count="4">
        <item n="A" x="0"/>
        <item n="B" x="1"/>
        <item n="C" x="2"/>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9"/>
    <field x="3"/>
  </rowFields>
  <rowItems count="13">
    <i>
      <x/>
      <x/>
    </i>
    <i r="1">
      <x v="1"/>
    </i>
    <i r="1">
      <x v="2"/>
    </i>
    <i r="1">
      <x v="3"/>
    </i>
    <i t="default">
      <x/>
    </i>
    <i>
      <x v="1"/>
      <x v="4"/>
    </i>
    <i r="1">
      <x v="5"/>
    </i>
    <i r="1">
      <x v="6"/>
    </i>
    <i t="default">
      <x v="1"/>
    </i>
    <i>
      <x v="2"/>
      <x v="7"/>
    </i>
    <i r="1">
      <x v="8"/>
    </i>
    <i r="1">
      <x v="9"/>
    </i>
    <i t="default">
      <x v="2"/>
    </i>
  </rowItems>
  <colFields count="1">
    <field x="6"/>
  </colFields>
  <colItems count="3">
    <i>
      <x/>
    </i>
    <i>
      <x v="1"/>
    </i>
    <i>
      <x v="2"/>
    </i>
  </colItems>
  <dataFields count="1">
    <dataField name="Sum of Sales" fld="7" baseField="0" baseItem="0"/>
  </dataFields>
  <formats count="5">
    <format dxfId="0">
      <pivotArea grandCol="1" outline="0" collapsedLevelsAreSubtotals="1" fieldPosition="0"/>
    </format>
    <format dxfId="1">
      <pivotArea type="origin" dataOnly="0" labelOnly="1" outline="0" fieldPosition="0"/>
    </format>
    <format dxfId="2">
      <pivotArea field="3" type="button" dataOnly="0" labelOnly="1" outline="0" axis="axisRow" fieldPosition="1"/>
    </format>
    <format dxfId="3">
      <pivotArea dataOnly="0" labelOnly="1" fieldPosition="0">
        <references count="1">
          <reference field="3" count="0"/>
        </references>
      </pivotArea>
    </format>
    <format dxfId="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44612B-A392-4861-96D2-F8DB37886381}" name="PivotTable7"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E15"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11">
        <item x="3"/>
        <item x="2"/>
        <item x="6"/>
        <item x="7"/>
        <item x="9"/>
        <item x="8"/>
        <item x="4"/>
        <item x="5"/>
        <item x="1"/>
        <item x="0"/>
        <item t="default"/>
      </items>
    </pivotField>
    <pivotField showAll="0"/>
    <pivotField showAll="0"/>
    <pivotField showAll="0"/>
    <pivotField showAll="0"/>
    <pivotField dataField="1" showAll="0"/>
    <pivotField axis="axisRow" showAll="0">
      <items count="4">
        <item n="South" x="0"/>
        <item n="North" x="1"/>
        <item n="West"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9"/>
    <field x="3"/>
  </rowFields>
  <rowItems count="14">
    <i>
      <x/>
    </i>
    <i r="1">
      <x/>
    </i>
    <i r="1">
      <x v="1"/>
    </i>
    <i r="1">
      <x v="2"/>
    </i>
    <i r="1">
      <x v="3"/>
    </i>
    <i>
      <x v="1"/>
    </i>
    <i r="1">
      <x v="4"/>
    </i>
    <i r="1">
      <x v="5"/>
    </i>
    <i r="1">
      <x v="6"/>
    </i>
    <i>
      <x v="2"/>
    </i>
    <i r="1">
      <x v="7"/>
    </i>
    <i r="1">
      <x v="8"/>
    </i>
    <i r="1">
      <x v="9"/>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D0452-C1D4-4361-A194-A66657FB2508}" name="PivotTable9" cacheId="7"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H1:I15" firstHeaderRow="2" firstDataRow="2" firstDataCol="1"/>
  <pivotFields count="14">
    <pivotField compact="0" outline="0" showAll="0"/>
    <pivotField axis="axisRow" compact="0" numFmtId="14" outline="0" showAll="0">
      <items count="15">
        <item x="0"/>
        <item x="1"/>
        <item x="2"/>
        <item x="3"/>
        <item x="4"/>
        <item x="5"/>
        <item x="6"/>
        <item x="7"/>
        <item x="8"/>
        <item x="9"/>
        <item x="10"/>
        <item x="11"/>
        <item x="12"/>
        <item x="13"/>
        <item t="default"/>
      </items>
    </pivotField>
    <pivotField compact="0" outline="0" showAll="0"/>
    <pivotField compact="0" outline="0" showAll="0">
      <items count="11">
        <item x="3"/>
        <item x="2"/>
        <item x="6"/>
        <item x="7"/>
        <item x="9"/>
        <item x="8"/>
        <item x="4"/>
        <item x="5"/>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defaultSubtotal="0">
      <items count="3">
        <item x="0"/>
        <item x="1"/>
        <item x="2"/>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150F41-213C-407A-8212-8F5F061E7E35}" name="PivotTable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7:H40" firstHeaderRow="0"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items count="11">
        <item x="3"/>
        <item x="2"/>
        <item x="6"/>
        <item x="7"/>
        <item x="9"/>
        <item x="8"/>
        <item x="4"/>
        <item x="5"/>
        <item x="1"/>
        <item x="0"/>
        <item t="default"/>
      </items>
    </pivotField>
    <pivotField showAll="0"/>
    <pivotField showAll="0"/>
    <pivotField showAll="0"/>
    <pivotField showAll="0"/>
    <pivotField dataField="1" showAll="0"/>
    <pivotField showAll="0" defaultSubtotal="0">
      <items count="3">
        <item x="0"/>
        <item x="1"/>
        <item x="2"/>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8" showDataAs="percentOfTotal" baseField="0" baseItem="0" numFmtId="10"/>
    <dataField name="Sum of Profit2"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8BA71B-4798-45C1-9301-28C838FB480C}"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4" firstHeaderRow="0"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11">
        <item x="3"/>
        <item x="2"/>
        <item x="6"/>
        <item x="7"/>
        <item x="9"/>
        <item x="8"/>
        <item x="4"/>
        <item x="5"/>
        <item x="1"/>
        <item x="0"/>
        <item t="default"/>
      </items>
    </pivotField>
    <pivotField showAll="0"/>
    <pivotField showAll="0"/>
    <pivotField showAll="0"/>
    <pivotField showAll="0"/>
    <pivotField dataField="1" showAll="0"/>
    <pivotField showAll="0" defaultSubtotal="0">
      <items count="3">
        <item x="0"/>
        <item x="1"/>
        <item x="2"/>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Profit" fld="8" baseField="0" baseItem="0"/>
    <dataField name="% of Grand Total"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5F8EC4-0935-4B0B-9449-8383BEC0AA44}"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H14" firstHeaderRow="0"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11">
        <item x="3"/>
        <item x="2"/>
        <item x="6"/>
        <item x="7"/>
        <item x="9"/>
        <item x="8"/>
        <item x="4"/>
        <item x="5"/>
        <item x="1"/>
        <item x="0"/>
        <item t="default"/>
      </items>
    </pivotField>
    <pivotField showAll="0"/>
    <pivotField showAll="0"/>
    <pivotField showAll="0"/>
    <pivotField showAll="0"/>
    <pivotField dataField="1" showAll="0"/>
    <pivotField showAll="0" defaultSubtotal="0">
      <items count="3">
        <item x="0"/>
        <item x="1"/>
        <item x="2"/>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Profit" fld="8" baseField="0" baseItem="0"/>
    <dataField name="Compared With India" fld="8" showDataAs="percent" baseField="3" baseItem="5"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FB4A57-FDAD-48E3-B396-E55E298F42C2}" name="PivotTable3" cacheId="7"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K3:M17" firstHeaderRow="1" firstDataRow="1" firstDataCol="2"/>
  <pivotFields count="14">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axis="axisRow" compact="0" outline="0" showAll="0">
      <items count="11">
        <item x="3"/>
        <item x="2"/>
        <item x="6"/>
        <item x="7"/>
        <item x="9"/>
        <item x="8"/>
        <item x="4"/>
        <item x="5"/>
        <item x="1"/>
        <item x="0"/>
        <item t="default"/>
      </items>
    </pivotField>
    <pivotField compact="0" outline="0" showAll="0"/>
    <pivotField compact="0" outline="0" showAll="0"/>
    <pivotField axis="axisRow" compact="0" outline="0" showAll="0">
      <items count="4">
        <item x="2"/>
        <item x="0"/>
        <item x="1"/>
        <item t="default"/>
      </items>
    </pivotField>
    <pivotField compact="0" outline="0" showAll="0"/>
    <pivotField dataField="1" compact="0" outline="0" showAll="0"/>
    <pivotField compact="0" outline="0" showAll="0" defaultSubtotal="0">
      <items count="3">
        <item x="0"/>
        <item x="1"/>
        <item x="2"/>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6"/>
    <field x="3"/>
  </rowFields>
  <rowItems count="14">
    <i>
      <x/>
      <x/>
    </i>
    <i r="1">
      <x v="1"/>
    </i>
    <i r="1">
      <x v="3"/>
    </i>
    <i r="1">
      <x v="4"/>
    </i>
    <i r="1">
      <x v="6"/>
    </i>
    <i t="default">
      <x/>
    </i>
    <i>
      <x v="1"/>
      <x v="2"/>
    </i>
    <i r="1">
      <x v="7"/>
    </i>
    <i r="1">
      <x v="9"/>
    </i>
    <i t="default">
      <x v="1"/>
    </i>
    <i>
      <x v="2"/>
      <x v="5"/>
    </i>
    <i r="1">
      <x v="8"/>
    </i>
    <i t="default">
      <x v="2"/>
    </i>
    <i t="grand">
      <x/>
    </i>
  </rowItems>
  <colItems count="1">
    <i/>
  </colItems>
  <dataFields count="1">
    <dataField name="Total" fld="8" baseField="6" baseItem="5" numFmtId="10">
      <extLst>
        <ext xmlns:x14="http://schemas.microsoft.com/office/spreadsheetml/2009/9/main" uri="{E15A36E0-9728-4e99-A89B-3F7291B0FE68}">
          <x14:dataField pivotShowAs="percentOfParent"/>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EA10B0-4696-4684-A8BB-9DDBB741D03B}"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7:C38" firstHeaderRow="0"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11">
        <item x="3"/>
        <item x="2"/>
        <item x="6"/>
        <item x="7"/>
        <item x="9"/>
        <item x="8"/>
        <item x="4"/>
        <item x="5"/>
        <item x="1"/>
        <item x="0"/>
        <item t="default"/>
      </items>
    </pivotField>
    <pivotField showAll="0"/>
    <pivotField showAll="0"/>
    <pivotField showAll="0"/>
    <pivotField showAll="0"/>
    <pivotField dataField="1" showAll="0"/>
    <pivotField showAll="0" defaultSubtotal="0">
      <items count="3">
        <item x="0"/>
        <item x="1"/>
        <item x="2"/>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Profit" fld="8" baseField="0" baseItem="0"/>
    <dataField name="Rank" fld="8" baseField="3"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19D670-881F-4701-B19C-35B0453F2618}" name="PivotTable6" cacheId="7" applyNumberFormats="0" applyBorderFormats="0" applyFontFormats="0" applyPatternFormats="0" applyAlignmentFormats="0" applyWidthHeightFormats="1" dataCaption="Values" updatedVersion="7" minRefreshableVersion="3" useAutoFormatting="1" pageWrap="2" rowGrandTotals="0" colGrandTotals="0" itemPrintTitles="1" createdVersion="7" indent="2" outline="1" outlineData="1" multipleFieldFilters="0">
  <location ref="A1:C49" firstHeaderRow="0"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3"/>
        <item x="2"/>
        <item x="6"/>
        <item x="7"/>
        <item x="9"/>
        <item x="8"/>
        <item x="4"/>
        <item x="5"/>
        <item x="1"/>
        <item x="0"/>
        <item t="default"/>
      </items>
    </pivotField>
    <pivotField showAll="0"/>
    <pivotField axis="axisRow" showAll="0">
      <items count="49">
        <item x="40"/>
        <item x="29"/>
        <item x="45"/>
        <item x="12"/>
        <item x="37"/>
        <item x="18"/>
        <item x="42"/>
        <item x="22"/>
        <item x="31"/>
        <item x="14"/>
        <item x="47"/>
        <item x="9"/>
        <item x="30"/>
        <item x="1"/>
        <item x="32"/>
        <item x="27"/>
        <item x="28"/>
        <item x="16"/>
        <item x="35"/>
        <item x="5"/>
        <item x="46"/>
        <item x="26"/>
        <item x="8"/>
        <item x="23"/>
        <item x="41"/>
        <item x="2"/>
        <item x="33"/>
        <item x="21"/>
        <item x="44"/>
        <item x="13"/>
        <item x="15"/>
        <item x="43"/>
        <item x="39"/>
        <item x="6"/>
        <item x="19"/>
        <item x="36"/>
        <item x="20"/>
        <item x="34"/>
        <item x="25"/>
        <item x="0"/>
        <item x="11"/>
        <item x="24"/>
        <item x="4"/>
        <item x="10"/>
        <item x="17"/>
        <item x="3"/>
        <item x="7"/>
        <item x="38"/>
        <item t="default"/>
      </items>
    </pivotField>
    <pivotField showAll="0"/>
    <pivotField dataField="1" showAll="0"/>
    <pivotField showAll="0"/>
    <pivotField showAll="0" defaultSubtotal="0">
      <items count="3">
        <item x="0"/>
        <item x="1"/>
        <item x="2"/>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2"/>
  </colFields>
  <colItems count="2">
    <i>
      <x/>
    </i>
    <i i="1">
      <x v="1"/>
    </i>
  </colItems>
  <dataFields count="2">
    <dataField name="Sum of Sales" fld="7" baseField="0" baseItem="0"/>
    <dataField name="Sum of Incentiv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DA0BBAA-7F19-44A7-B142-20A941F75B11}" name="PivotTable10" cacheId="7" applyNumberFormats="0" applyBorderFormats="0" applyFontFormats="0" applyPatternFormats="0" applyAlignmentFormats="0" applyWidthHeightFormats="1" dataCaption="Values" missingCaption="0" updatedVersion="7" minRefreshableVersion="3" useAutoFormatting="1" pageWrap="2" rowGrandTotals="0" colGrandTotals="0" itemPrintTitles="1" mergeItem="1" createdVersion="7" indent="0" outline="1" outlineData="1" multipleFieldFilters="0">
  <location ref="A6:B18" firstHeaderRow="1" firstDataRow="1" firstDataCol="1" rowPageCount="2" colPageCount="2"/>
  <pivotFields count="14">
    <pivotField showAll="0"/>
    <pivotField axis="axisRow" numFmtId="14" showAll="0">
      <items count="15">
        <item x="0"/>
        <item x="1"/>
        <item x="2"/>
        <item x="3"/>
        <item x="4"/>
        <item x="5"/>
        <item x="6"/>
        <item x="7"/>
        <item x="8"/>
        <item x="9"/>
        <item x="10"/>
        <item x="11"/>
        <item x="12"/>
        <item x="13"/>
        <item t="default"/>
      </items>
    </pivotField>
    <pivotField showAll="0"/>
    <pivotField axis="axisPage" showAll="0">
      <items count="11">
        <item x="3"/>
        <item x="2"/>
        <item x="6"/>
        <item x="7"/>
        <item x="9"/>
        <item x="8"/>
        <item x="4"/>
        <item x="5"/>
        <item x="1"/>
        <item x="0"/>
        <item t="default"/>
      </items>
    </pivotField>
    <pivotField axis="axisPage" multipleItemSelectionAllowed="1" showAll="0">
      <items count="24">
        <item x="15"/>
        <item x="20"/>
        <item x="16"/>
        <item x="18"/>
        <item x="12"/>
        <item x="2"/>
        <item x="11"/>
        <item x="7"/>
        <item x="9"/>
        <item x="5"/>
        <item x="13"/>
        <item x="8"/>
        <item x="10"/>
        <item x="21"/>
        <item x="19"/>
        <item x="14"/>
        <item x="22"/>
        <item x="17"/>
        <item x="6"/>
        <item x="4"/>
        <item x="0"/>
        <item x="1"/>
        <item x="3"/>
        <item t="default"/>
      </items>
    </pivotField>
    <pivotField axis="axisPage" showAll="0">
      <items count="49">
        <item x="40"/>
        <item x="29"/>
        <item x="45"/>
        <item x="12"/>
        <item x="37"/>
        <item x="18"/>
        <item x="42"/>
        <item x="22"/>
        <item x="31"/>
        <item x="14"/>
        <item x="47"/>
        <item x="9"/>
        <item x="30"/>
        <item x="1"/>
        <item x="32"/>
        <item x="27"/>
        <item x="28"/>
        <item x="16"/>
        <item x="35"/>
        <item x="5"/>
        <item x="46"/>
        <item x="26"/>
        <item x="8"/>
        <item x="23"/>
        <item x="41"/>
        <item x="2"/>
        <item x="33"/>
        <item x="21"/>
        <item x="44"/>
        <item x="13"/>
        <item x="15"/>
        <item x="43"/>
        <item x="39"/>
        <item x="6"/>
        <item x="19"/>
        <item x="36"/>
        <item x="20"/>
        <item x="34"/>
        <item x="25"/>
        <item x="0"/>
        <item x="11"/>
        <item x="24"/>
        <item x="4"/>
        <item x="10"/>
        <item x="17"/>
        <item x="3"/>
        <item x="7"/>
        <item x="38"/>
        <item t="default"/>
      </items>
    </pivotField>
    <pivotField axis="axisPage" showAll="0">
      <items count="4">
        <item x="2"/>
        <item x="0"/>
        <item x="1"/>
        <item t="default"/>
      </items>
    </pivotField>
    <pivotField showAll="0"/>
    <pivotField dataField="1" showAll="0"/>
    <pivotField showAll="0" defaultSubtotal="0">
      <items count="3">
        <item x="0"/>
        <item x="1"/>
        <item x="2"/>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pageFields count="4">
    <pageField fld="3" hier="-1"/>
    <pageField fld="4" hier="-1"/>
    <pageField fld="5" hier="-1"/>
    <pageField fld="6" item="1" hier="-1"/>
  </pageField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F4DCE9-E3D9-4240-8D7C-B8CB7B2390F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L7" firstHeaderRow="1" firstDataRow="1" firstDataCol="1"/>
  <pivotFields count="9">
    <pivotField showAll="0"/>
    <pivotField numFmtId="14" showAll="0"/>
    <pivotField showAll="0"/>
    <pivotField axis="axisRow" showAll="0" measureFilter="1" sortType="descending">
      <items count="11">
        <item x="0"/>
        <item x="1"/>
        <item x="5"/>
        <item x="4"/>
        <item x="8"/>
        <item x="9"/>
        <item x="7"/>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3"/>
  </rowFields>
  <rowItems count="6">
    <i>
      <x v="4"/>
    </i>
    <i>
      <x v="8"/>
    </i>
    <i>
      <x/>
    </i>
    <i>
      <x v="2"/>
    </i>
    <i>
      <x v="3"/>
    </i>
    <i t="grand">
      <x/>
    </i>
  </rowItems>
  <colItems count="1">
    <i/>
  </colItems>
  <dataFields count="1">
    <dataField name="Sum of Sales" fld="7"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6FFE43B-1804-46F2-A86F-7851771B74D3}"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G5" firstHeaderRow="1" firstDataRow="1" firstDataCol="1"/>
  <pivotFields count="9">
    <pivotField showAll="0"/>
    <pivotField numFmtId="14" showAll="0"/>
    <pivotField showAll="0"/>
    <pivotField axis="axisRow" showAll="0" measureFilter="1">
      <items count="11">
        <item x="3"/>
        <item x="2"/>
        <item x="6"/>
        <item x="7"/>
        <item x="9"/>
        <item x="8"/>
        <item x="4"/>
        <item x="5"/>
        <item x="1"/>
        <item x="0"/>
        <item t="default"/>
      </items>
    </pivotField>
    <pivotField showAll="0"/>
    <pivotField showAll="0"/>
    <pivotField showAll="0"/>
    <pivotField dataField="1" showAll="0"/>
    <pivotField showAll="0"/>
  </pivotFields>
  <rowFields count="1">
    <field x="3"/>
  </rowFields>
  <rowItems count="4">
    <i>
      <x v="1"/>
    </i>
    <i>
      <x v="5"/>
    </i>
    <i>
      <x v="9"/>
    </i>
    <i t="grand">
      <x/>
    </i>
  </rowItems>
  <colItems count="1">
    <i/>
  </colItems>
  <dataFields count="1">
    <dataField name="Sum of Sales" fld="7" baseField="0" baseItem="0"/>
  </dataFields>
  <pivotTableStyleInfo name="PivotStyleLight16" showRowHeaders="1" showColHeaders="1" showRowStripes="0" showColStripes="0" showLastColumn="1"/>
  <filters count="1">
    <filter fld="3" type="valueBetween" evalOrder="-1" id="1" iMeasureFld="0">
      <autoFilter ref="A1">
        <filterColumn colId="0">
          <customFilters and="1">
            <customFilter operator="greaterThanOrEqual" val="200000"/>
            <customFilter operator="lessThanOrEqual" val="25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1FC32FA-227E-4D13-9FD9-9A87C1056FBC}"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9">
    <pivotField showAll="0"/>
    <pivotField numFmtId="14" showAll="0"/>
    <pivotField showAll="0"/>
    <pivotField axis="axisRow" showAll="0" measureFilter="1">
      <items count="11">
        <item x="3"/>
        <item x="2"/>
        <item x="6"/>
        <item x="7"/>
        <item x="9"/>
        <item x="8"/>
        <item x="4"/>
        <item x="5"/>
        <item x="1"/>
        <item x="0"/>
        <item t="default"/>
      </items>
    </pivotField>
    <pivotField showAll="0"/>
    <pivotField showAll="0"/>
    <pivotField showAll="0"/>
    <pivotField dataField="1" showAll="0"/>
    <pivotField showAll="0"/>
  </pivotFields>
  <rowFields count="1">
    <field x="3"/>
  </rowFields>
  <rowItems count="4">
    <i>
      <x v="1"/>
    </i>
    <i>
      <x v="5"/>
    </i>
    <i>
      <x v="9"/>
    </i>
    <i t="grand">
      <x/>
    </i>
  </rowItems>
  <colItems count="1">
    <i/>
  </colItems>
  <dataFields count="1">
    <dataField name="Sum of Sales" fld="7" baseField="0" baseItem="0"/>
  </dataFields>
  <pivotTableStyleInfo name="PivotStyleLight16" showRowHeaders="1" showColHeaders="1" showRowStripes="0" showColStripes="0" showLastColumn="1"/>
  <filters count="1">
    <filter fld="3" type="valueGreaterThan" evalOrder="-1" id="2" iMeasureFld="0">
      <autoFilter ref="A1">
        <filterColumn colId="0">
          <customFilters>
            <customFilter operator="greaterThan" val="2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D8E2B1D-F0D1-40EF-807C-1BCBA2C8589E}"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1:Q3" firstHeaderRow="1" firstDataRow="1" firstDataCol="1"/>
  <pivotFields count="9">
    <pivotField showAll="0"/>
    <pivotField numFmtId="14" showAll="0"/>
    <pivotField showAll="0"/>
    <pivotField axis="axisRow" showAll="0">
      <items count="11">
        <item x="3"/>
        <item x="2"/>
        <item x="6"/>
        <item x="7"/>
        <item x="9"/>
        <item x="8"/>
        <item x="4"/>
        <item x="5"/>
        <item x="1"/>
        <item x="0"/>
        <item t="default"/>
      </items>
    </pivotField>
    <pivotField showAll="0"/>
    <pivotField showAll="0"/>
    <pivotField showAll="0"/>
    <pivotField dataField="1" showAll="0"/>
    <pivotField showAll="0"/>
  </pivotFields>
  <rowFields count="1">
    <field x="3"/>
  </rowFields>
  <rowItems count="2">
    <i>
      <x v="1"/>
    </i>
    <i t="grand">
      <x/>
    </i>
  </rowItems>
  <colItems count="1">
    <i/>
  </colItems>
  <dataFields count="1">
    <dataField name="Sum of Sales" fld="7" baseField="0" baseItem="0"/>
  </dataFields>
  <pivotTableStyleInfo name="PivotStyleLight16" showRowHeaders="1" showColHeaders="1" showRowStripes="0" showColStripes="0" showLastColumn="1"/>
  <filters count="1">
    <filter fld="3" type="captionBeginsWith" evalOrder="-1" id="1" stringValue1="B">
      <autoFilter ref="A1">
        <filterColumn colId="0">
          <customFilters>
            <customFilter val="B*"/>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92B1A2C-8750-43F1-A483-DE5A6C6BD8DB}"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H8:I11" firstHeaderRow="1"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Revenue" fld="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430155-5408-40E4-B7D6-0F14C6AACA65}"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1:U15" firstHeaderRow="1" firstDataRow="2" firstDataCol="1"/>
  <pivotFields count="8">
    <pivotField showAll="0"/>
    <pivotField axis="axisCol" showAll="0">
      <items count="7">
        <item x="2"/>
        <item x="4"/>
        <item x="0"/>
        <item x="1"/>
        <item x="3"/>
        <item x="5"/>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Fields count="1">
    <field x="1"/>
  </colFields>
  <colItems count="7">
    <i>
      <x/>
    </i>
    <i>
      <x v="1"/>
    </i>
    <i>
      <x v="2"/>
    </i>
    <i>
      <x v="3"/>
    </i>
    <i>
      <x v="4"/>
    </i>
    <i>
      <x v="5"/>
    </i>
    <i t="grand">
      <x/>
    </i>
  </colItems>
  <dataFields count="1">
    <dataField name="Sum of 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1285B1A-EF20-4AD0-A46A-312A77AD9A63}" sourceName="Country">
  <pivotTables>
    <pivotTable tabId="10" name="PivotTable2"/>
    <pivotTable tabId="10" name="PivotTable4"/>
  </pivotTables>
  <data>
    <tabular pivotCacheId="1448522288">
      <items count="10">
        <i x="3" s="1"/>
        <i x="2" s="1"/>
        <i x="6" s="1"/>
        <i x="7" s="1"/>
        <i x="9" s="1"/>
        <i x="8" s="1"/>
        <i x="4"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D11433-FC9A-45B9-9C1E-0C81B481E2F9}" sourceName="Region">
  <pivotTables>
    <pivotTable tabId="10" name="PivotTable2"/>
    <pivotTable tabId="10" name="PivotTable4"/>
  </pivotTables>
  <data>
    <tabular pivotCacheId="14485222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815D627-A577-404D-9ACA-C68133FF323A}" cache="Slicer_Country" caption="Country" startItem="1" style="Slicer Style 1" rowHeight="241300"/>
  <slicer name="Region" xr10:uid="{255300A9-5982-46ED-B7BB-C5FDDE29D722}" cache="Slicer_Region" caption="Region" style="Slicer Style 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475063-48EE-4A89-98D7-04ECFF964201}" name="Table1" displayName="Table1" ref="A1:I501" totalsRowShown="0" headerRowDxfId="31" dataDxfId="29" headerRowBorderDxfId="30" tableBorderDxfId="28" totalsRowBorderDxfId="27">
  <autoFilter ref="A1:I501" xr:uid="{C8475063-48EE-4A89-98D7-04ECFF964201}"/>
  <tableColumns count="9">
    <tableColumn id="1" xr3:uid="{5EACDB62-83A7-4082-BE4C-6702D0C38A0A}" name="Order ID" dataDxfId="26"/>
    <tableColumn id="2" xr3:uid="{A50B0E4F-97FE-438B-B5DA-4726F4E6BE2D}" name="Order Date" dataDxfId="25"/>
    <tableColumn id="3" xr3:uid="{CC810340-24E6-466A-B676-203DF965BB65}" name="Customer Name" dataDxfId="24"/>
    <tableColumn id="4" xr3:uid="{8A7D69E7-A54A-4106-89CF-B1F85059B6A4}" name="Country" dataDxfId="23"/>
    <tableColumn id="5" xr3:uid="{94241B1B-F17E-4767-B05F-B1484C7E5DDE}" name="State" dataDxfId="22"/>
    <tableColumn id="6" xr3:uid="{AB0ED5D0-2CE0-46A3-BB88-0415ED5E43C6}" name="City" dataDxfId="21"/>
    <tableColumn id="7" xr3:uid="{E9ECF6B6-7ECE-4754-A2E8-30B42DEF921E}" name="Region" dataDxfId="20"/>
    <tableColumn id="8" xr3:uid="{2E0CC77F-AE4C-45E4-8AEF-FA08A0DD7B31}" name="Sales" dataDxfId="19"/>
    <tableColumn id="9" xr3:uid="{71AE13DE-27BA-4937-AF98-862ED32A0224}" name="Profit" dataDxfId="1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FE5C724-1750-4E2E-86FD-1DBB9D858BD2}" sourceName="Order Date">
  <pivotTables>
    <pivotTable tabId="13" name="PivotTable3"/>
  </pivotTables>
  <state minimalRefreshVersion="6" lastRefreshVersion="6" pivotCacheId="1448522288" filterType="dateBetween">
    <selection startDate="2018-01-01T00:00:00" endDate="2018-12-31T00:00:00"/>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4C31CCA-1AB4-4A69-AE0C-BEB041359F11}" cache="NativeTimeline_Order_Date" caption="Order Date" level="1" selectionLevel="0" scrollPosition="2018-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rinterSettings" Target="../printerSettings/printerSettings2.bin"/><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pane ySplit="1" topLeftCell="A461" activePane="bottomLeft" state="frozen"/>
      <selection pane="bottomLeft" activeCell="B1" sqref="B1"/>
    </sheetView>
  </sheetViews>
  <sheetFormatPr defaultRowHeight="15" x14ac:dyDescent="0.25"/>
  <cols>
    <col min="1" max="1" width="18" customWidth="1"/>
    <col min="2" max="2" width="14.42578125" style="12" customWidth="1"/>
    <col min="3" max="3" width="22" customWidth="1"/>
    <col min="4" max="4" width="14" customWidth="1"/>
    <col min="5" max="5" width="26" customWidth="1"/>
    <col min="6" max="6" width="22.140625" customWidth="1"/>
    <col min="7" max="7" width="10.42578125" customWidth="1"/>
    <col min="8" max="9" width="10" customWidth="1"/>
    <col min="13" max="13" width="10.7109375" bestFit="1" customWidth="1"/>
  </cols>
  <sheetData>
    <row r="1" spans="1:13" ht="21.95" customHeight="1" x14ac:dyDescent="0.25">
      <c r="A1" s="21" t="s">
        <v>0</v>
      </c>
      <c r="B1" s="22" t="s">
        <v>1</v>
      </c>
      <c r="C1" s="23" t="s">
        <v>2</v>
      </c>
      <c r="D1" s="23" t="s">
        <v>3</v>
      </c>
      <c r="E1" s="23" t="s">
        <v>4</v>
      </c>
      <c r="F1" s="23" t="s">
        <v>5</v>
      </c>
      <c r="G1" s="23" t="s">
        <v>6</v>
      </c>
      <c r="H1" s="23" t="s">
        <v>7</v>
      </c>
      <c r="I1" s="24" t="s">
        <v>8</v>
      </c>
    </row>
    <row r="2" spans="1:13" x14ac:dyDescent="0.25">
      <c r="A2" s="17" t="s">
        <v>9</v>
      </c>
      <c r="B2" s="10">
        <v>43862</v>
      </c>
      <c r="C2" s="1" t="s">
        <v>10</v>
      </c>
      <c r="D2" s="1" t="s">
        <v>11</v>
      </c>
      <c r="E2" s="1" t="s">
        <v>12</v>
      </c>
      <c r="F2" s="1" t="s">
        <v>13</v>
      </c>
      <c r="G2" s="1" t="s">
        <v>14</v>
      </c>
      <c r="H2" s="2">
        <v>4760</v>
      </c>
      <c r="I2" s="19">
        <v>2590</v>
      </c>
    </row>
    <row r="3" spans="1:13" x14ac:dyDescent="0.25">
      <c r="A3" s="18" t="s">
        <v>15</v>
      </c>
      <c r="B3" s="11">
        <v>43160</v>
      </c>
      <c r="C3" s="3" t="s">
        <v>16</v>
      </c>
      <c r="D3" s="3" t="s">
        <v>17</v>
      </c>
      <c r="E3" s="3" t="s">
        <v>18</v>
      </c>
      <c r="F3" s="3" t="s">
        <v>19</v>
      </c>
      <c r="G3" s="3" t="s">
        <v>20</v>
      </c>
      <c r="H3" s="4">
        <v>1770</v>
      </c>
      <c r="I3" s="20">
        <v>1038</v>
      </c>
    </row>
    <row r="4" spans="1:13" x14ac:dyDescent="0.25">
      <c r="A4" s="17" t="s">
        <v>21</v>
      </c>
      <c r="B4" s="10">
        <v>43922</v>
      </c>
      <c r="C4" s="1" t="s">
        <v>22</v>
      </c>
      <c r="D4" s="1" t="s">
        <v>23</v>
      </c>
      <c r="E4" s="1" t="s">
        <v>24</v>
      </c>
      <c r="F4" s="1" t="s">
        <v>25</v>
      </c>
      <c r="G4" s="1" t="s">
        <v>26</v>
      </c>
      <c r="H4" s="2">
        <v>3672</v>
      </c>
      <c r="I4" s="19">
        <v>2673</v>
      </c>
    </row>
    <row r="5" spans="1:13" x14ac:dyDescent="0.25">
      <c r="A5" s="18" t="s">
        <v>27</v>
      </c>
      <c r="B5" s="11">
        <v>43221</v>
      </c>
      <c r="C5" s="3" t="s">
        <v>28</v>
      </c>
      <c r="D5" s="3" t="s">
        <v>29</v>
      </c>
      <c r="E5" s="3" t="s">
        <v>30</v>
      </c>
      <c r="F5" s="3" t="s">
        <v>30</v>
      </c>
      <c r="G5" s="3" t="s">
        <v>26</v>
      </c>
      <c r="H5" s="4">
        <v>5711</v>
      </c>
      <c r="I5" s="20">
        <v>2977</v>
      </c>
    </row>
    <row r="6" spans="1:13" x14ac:dyDescent="0.25">
      <c r="A6" s="17" t="s">
        <v>31</v>
      </c>
      <c r="B6" s="10">
        <v>43252</v>
      </c>
      <c r="C6" s="1" t="s">
        <v>32</v>
      </c>
      <c r="D6" s="1" t="s">
        <v>33</v>
      </c>
      <c r="E6" s="1" t="s">
        <v>34</v>
      </c>
      <c r="F6" s="1" t="s">
        <v>35</v>
      </c>
      <c r="G6" s="1" t="s">
        <v>26</v>
      </c>
      <c r="H6" s="2">
        <v>5953</v>
      </c>
      <c r="I6" s="19">
        <v>2744</v>
      </c>
    </row>
    <row r="7" spans="1:13" x14ac:dyDescent="0.25">
      <c r="A7" s="18" t="s">
        <v>36</v>
      </c>
      <c r="B7" s="11">
        <v>43983</v>
      </c>
      <c r="C7" s="3" t="s">
        <v>37</v>
      </c>
      <c r="D7" s="3" t="s">
        <v>38</v>
      </c>
      <c r="E7" s="3" t="s">
        <v>39</v>
      </c>
      <c r="F7" s="3" t="s">
        <v>40</v>
      </c>
      <c r="G7" s="3" t="s">
        <v>14</v>
      </c>
      <c r="H7" s="4">
        <v>1715</v>
      </c>
      <c r="I7" s="20">
        <v>817</v>
      </c>
      <c r="M7" s="12" t="e" cm="1">
        <f t="array" ref="M7">_xlfn.IFS(B2&lt;MIN(B:B),"out", B2&gt;MAX(B:B), "out")</f>
        <v>#N/A</v>
      </c>
    </row>
    <row r="8" spans="1:13" x14ac:dyDescent="0.25">
      <c r="A8" s="17" t="s">
        <v>41</v>
      </c>
      <c r="B8" s="10">
        <v>44013</v>
      </c>
      <c r="C8" s="1" t="s">
        <v>42</v>
      </c>
      <c r="D8" s="1" t="s">
        <v>43</v>
      </c>
      <c r="E8" s="1" t="s">
        <v>44</v>
      </c>
      <c r="F8" s="1" t="s">
        <v>45</v>
      </c>
      <c r="G8" s="1" t="s">
        <v>14</v>
      </c>
      <c r="H8" s="2">
        <v>1972</v>
      </c>
      <c r="I8" s="19">
        <v>1217</v>
      </c>
      <c r="M8" s="12">
        <f>MAX(B:B)</f>
        <v>44195</v>
      </c>
    </row>
    <row r="9" spans="1:13" x14ac:dyDescent="0.25">
      <c r="A9" s="18" t="s">
        <v>46</v>
      </c>
      <c r="B9" s="11">
        <v>43313</v>
      </c>
      <c r="C9" s="3" t="s">
        <v>47</v>
      </c>
      <c r="D9" s="3" t="s">
        <v>48</v>
      </c>
      <c r="E9" s="3" t="s">
        <v>49</v>
      </c>
      <c r="F9" s="3" t="s">
        <v>50</v>
      </c>
      <c r="G9" s="3" t="s">
        <v>26</v>
      </c>
      <c r="H9" s="4">
        <v>4386</v>
      </c>
      <c r="I9" s="20">
        <v>2692</v>
      </c>
    </row>
    <row r="10" spans="1:13" x14ac:dyDescent="0.25">
      <c r="A10" s="17" t="s">
        <v>51</v>
      </c>
      <c r="B10" s="10">
        <v>44105</v>
      </c>
      <c r="C10" s="1" t="s">
        <v>52</v>
      </c>
      <c r="D10" s="1" t="s">
        <v>29</v>
      </c>
      <c r="E10" s="1" t="s">
        <v>30</v>
      </c>
      <c r="F10" s="1" t="s">
        <v>30</v>
      </c>
      <c r="G10" s="1" t="s">
        <v>26</v>
      </c>
      <c r="H10" s="2">
        <v>1663</v>
      </c>
      <c r="I10" s="19">
        <v>1010</v>
      </c>
    </row>
    <row r="11" spans="1:13" x14ac:dyDescent="0.25">
      <c r="A11" s="18" t="s">
        <v>53</v>
      </c>
      <c r="B11" s="11">
        <v>44136</v>
      </c>
      <c r="C11" s="3" t="s">
        <v>54</v>
      </c>
      <c r="D11" s="3" t="s">
        <v>29</v>
      </c>
      <c r="E11" s="3" t="s">
        <v>30</v>
      </c>
      <c r="F11" s="3" t="s">
        <v>30</v>
      </c>
      <c r="G11" s="3" t="s">
        <v>26</v>
      </c>
      <c r="H11" s="4">
        <v>1628</v>
      </c>
      <c r="I11" s="20">
        <v>735</v>
      </c>
    </row>
    <row r="12" spans="1:13" x14ac:dyDescent="0.25">
      <c r="A12" s="17" t="s">
        <v>55</v>
      </c>
      <c r="B12" s="10">
        <v>44166</v>
      </c>
      <c r="C12" s="1" t="s">
        <v>56</v>
      </c>
      <c r="D12" s="1" t="s">
        <v>17</v>
      </c>
      <c r="E12" s="1" t="s">
        <v>57</v>
      </c>
      <c r="F12" s="1" t="s">
        <v>57</v>
      </c>
      <c r="G12" s="1" t="s">
        <v>20</v>
      </c>
      <c r="H12" s="2">
        <v>2244</v>
      </c>
      <c r="I12" s="19">
        <v>1614</v>
      </c>
    </row>
    <row r="13" spans="1:13" x14ac:dyDescent="0.25">
      <c r="A13" s="18" t="s">
        <v>58</v>
      </c>
      <c r="B13" s="11">
        <v>43102</v>
      </c>
      <c r="C13" s="3" t="s">
        <v>59</v>
      </c>
      <c r="D13" s="3" t="s">
        <v>43</v>
      </c>
      <c r="E13" s="3" t="s">
        <v>44</v>
      </c>
      <c r="F13" s="3" t="s">
        <v>60</v>
      </c>
      <c r="G13" s="3" t="s">
        <v>14</v>
      </c>
      <c r="H13" s="4">
        <v>3744</v>
      </c>
      <c r="I13" s="20">
        <v>1789</v>
      </c>
      <c r="M13" s="12">
        <v>43102</v>
      </c>
    </row>
    <row r="14" spans="1:13" x14ac:dyDescent="0.25">
      <c r="A14" s="17" t="s">
        <v>61</v>
      </c>
      <c r="B14" s="10">
        <v>43102</v>
      </c>
      <c r="C14" s="1" t="s">
        <v>62</v>
      </c>
      <c r="D14" s="1" t="s">
        <v>17</v>
      </c>
      <c r="E14" s="1" t="s">
        <v>18</v>
      </c>
      <c r="F14" s="1" t="s">
        <v>63</v>
      </c>
      <c r="G14" s="1" t="s">
        <v>20</v>
      </c>
      <c r="H14" s="2">
        <v>2953</v>
      </c>
      <c r="I14" s="19">
        <v>2142</v>
      </c>
      <c r="M14" s="12">
        <v>44195</v>
      </c>
    </row>
    <row r="15" spans="1:13" x14ac:dyDescent="0.25">
      <c r="A15" s="18" t="s">
        <v>64</v>
      </c>
      <c r="B15" s="11">
        <v>43526</v>
      </c>
      <c r="C15" s="3" t="s">
        <v>65</v>
      </c>
      <c r="D15" s="3" t="s">
        <v>48</v>
      </c>
      <c r="E15" s="3" t="s">
        <v>49</v>
      </c>
      <c r="F15" s="3" t="s">
        <v>50</v>
      </c>
      <c r="G15" s="3" t="s">
        <v>26</v>
      </c>
      <c r="H15" s="4">
        <v>1604</v>
      </c>
      <c r="I15" s="20">
        <v>1044</v>
      </c>
    </row>
    <row r="16" spans="1:13" x14ac:dyDescent="0.25">
      <c r="A16" s="17" t="s">
        <v>66</v>
      </c>
      <c r="B16" s="10">
        <v>43892</v>
      </c>
      <c r="C16" s="1" t="s">
        <v>67</v>
      </c>
      <c r="D16" s="1" t="s">
        <v>11</v>
      </c>
      <c r="E16" s="1" t="s">
        <v>12</v>
      </c>
      <c r="F16" s="1" t="s">
        <v>13</v>
      </c>
      <c r="G16" s="1" t="s">
        <v>14</v>
      </c>
      <c r="H16" s="2">
        <v>2167</v>
      </c>
      <c r="I16" s="19">
        <v>1353</v>
      </c>
    </row>
    <row r="17" spans="1:9" x14ac:dyDescent="0.25">
      <c r="A17" s="18" t="s">
        <v>68</v>
      </c>
      <c r="B17" s="11">
        <v>43222</v>
      </c>
      <c r="C17" s="3" t="s">
        <v>69</v>
      </c>
      <c r="D17" s="3" t="s">
        <v>11</v>
      </c>
      <c r="E17" s="3" t="s">
        <v>12</v>
      </c>
      <c r="F17" s="3" t="s">
        <v>12</v>
      </c>
      <c r="G17" s="3" t="s">
        <v>14</v>
      </c>
      <c r="H17" s="4">
        <v>2934</v>
      </c>
      <c r="I17" s="20">
        <v>1688</v>
      </c>
    </row>
    <row r="18" spans="1:9" x14ac:dyDescent="0.25">
      <c r="A18" s="17" t="s">
        <v>70</v>
      </c>
      <c r="B18" s="10">
        <v>43587</v>
      </c>
      <c r="C18" s="1" t="s">
        <v>71</v>
      </c>
      <c r="D18" s="1" t="s">
        <v>72</v>
      </c>
      <c r="E18" s="1" t="s">
        <v>73</v>
      </c>
      <c r="F18" s="1" t="s">
        <v>74</v>
      </c>
      <c r="G18" s="1" t="s">
        <v>20</v>
      </c>
      <c r="H18" s="2">
        <v>5874</v>
      </c>
      <c r="I18" s="19">
        <v>3064</v>
      </c>
    </row>
    <row r="19" spans="1:9" x14ac:dyDescent="0.25">
      <c r="A19" s="18" t="s">
        <v>75</v>
      </c>
      <c r="B19" s="11">
        <v>43953</v>
      </c>
      <c r="C19" s="3" t="s">
        <v>76</v>
      </c>
      <c r="D19" s="3" t="s">
        <v>72</v>
      </c>
      <c r="E19" s="3" t="s">
        <v>73</v>
      </c>
      <c r="F19" s="3" t="s">
        <v>74</v>
      </c>
      <c r="G19" s="3" t="s">
        <v>20</v>
      </c>
      <c r="H19" s="4">
        <v>5906</v>
      </c>
      <c r="I19" s="20">
        <v>3496</v>
      </c>
    </row>
    <row r="20" spans="1:9" x14ac:dyDescent="0.25">
      <c r="A20" s="17" t="s">
        <v>77</v>
      </c>
      <c r="B20" s="10">
        <v>43953</v>
      </c>
      <c r="C20" s="1" t="s">
        <v>78</v>
      </c>
      <c r="D20" s="1" t="s">
        <v>72</v>
      </c>
      <c r="E20" s="1" t="s">
        <v>79</v>
      </c>
      <c r="F20" s="1" t="s">
        <v>80</v>
      </c>
      <c r="G20" s="1" t="s">
        <v>20</v>
      </c>
      <c r="H20" s="2">
        <v>4554</v>
      </c>
      <c r="I20" s="19">
        <v>2212</v>
      </c>
    </row>
    <row r="21" spans="1:9" x14ac:dyDescent="0.25">
      <c r="A21" s="18" t="s">
        <v>81</v>
      </c>
      <c r="B21" s="11">
        <v>43618</v>
      </c>
      <c r="C21" s="3" t="s">
        <v>82</v>
      </c>
      <c r="D21" s="3" t="s">
        <v>43</v>
      </c>
      <c r="E21" s="3" t="s">
        <v>83</v>
      </c>
      <c r="F21" s="3" t="s">
        <v>84</v>
      </c>
      <c r="G21" s="3" t="s">
        <v>14</v>
      </c>
      <c r="H21" s="4">
        <v>3966</v>
      </c>
      <c r="I21" s="20">
        <v>2285</v>
      </c>
    </row>
    <row r="22" spans="1:9" x14ac:dyDescent="0.25">
      <c r="A22" s="17" t="s">
        <v>85</v>
      </c>
      <c r="B22" s="10">
        <v>43648</v>
      </c>
      <c r="C22" s="1" t="s">
        <v>86</v>
      </c>
      <c r="D22" s="1" t="s">
        <v>72</v>
      </c>
      <c r="E22" s="1" t="s">
        <v>87</v>
      </c>
      <c r="F22" s="1" t="s">
        <v>88</v>
      </c>
      <c r="G22" s="1" t="s">
        <v>20</v>
      </c>
      <c r="H22" s="2">
        <v>4375</v>
      </c>
      <c r="I22" s="19">
        <v>1976</v>
      </c>
    </row>
    <row r="23" spans="1:9" x14ac:dyDescent="0.25">
      <c r="A23" s="18" t="s">
        <v>89</v>
      </c>
      <c r="B23" s="11">
        <v>43648</v>
      </c>
      <c r="C23" s="3" t="s">
        <v>90</v>
      </c>
      <c r="D23" s="3" t="s">
        <v>91</v>
      </c>
      <c r="E23" s="3" t="s">
        <v>92</v>
      </c>
      <c r="F23" s="3" t="s">
        <v>93</v>
      </c>
      <c r="G23" s="3" t="s">
        <v>26</v>
      </c>
      <c r="H23" s="4">
        <v>1985</v>
      </c>
      <c r="I23" s="20">
        <v>1484</v>
      </c>
    </row>
    <row r="24" spans="1:9" x14ac:dyDescent="0.25">
      <c r="A24" s="17" t="s">
        <v>94</v>
      </c>
      <c r="B24" s="10">
        <v>43314</v>
      </c>
      <c r="C24" s="1" t="s">
        <v>95</v>
      </c>
      <c r="D24" s="1" t="s">
        <v>48</v>
      </c>
      <c r="E24" s="1" t="s">
        <v>49</v>
      </c>
      <c r="F24" s="1" t="s">
        <v>50</v>
      </c>
      <c r="G24" s="1" t="s">
        <v>26</v>
      </c>
      <c r="H24" s="2">
        <v>4341</v>
      </c>
      <c r="I24" s="19">
        <v>3232</v>
      </c>
    </row>
    <row r="25" spans="1:9" x14ac:dyDescent="0.25">
      <c r="A25" s="18" t="s">
        <v>96</v>
      </c>
      <c r="B25" s="11">
        <v>43679</v>
      </c>
      <c r="C25" s="3" t="s">
        <v>97</v>
      </c>
      <c r="D25" s="3" t="s">
        <v>48</v>
      </c>
      <c r="E25" s="3" t="s">
        <v>49</v>
      </c>
      <c r="F25" s="3" t="s">
        <v>98</v>
      </c>
      <c r="G25" s="3" t="s">
        <v>26</v>
      </c>
      <c r="H25" s="4">
        <v>5241</v>
      </c>
      <c r="I25" s="20">
        <v>2370</v>
      </c>
    </row>
    <row r="26" spans="1:9" x14ac:dyDescent="0.25">
      <c r="A26" s="17" t="s">
        <v>99</v>
      </c>
      <c r="B26" s="10">
        <v>44106</v>
      </c>
      <c r="C26" s="1" t="s">
        <v>100</v>
      </c>
      <c r="D26" s="1" t="s">
        <v>91</v>
      </c>
      <c r="E26" s="1" t="s">
        <v>101</v>
      </c>
      <c r="F26" s="1" t="s">
        <v>102</v>
      </c>
      <c r="G26" s="1" t="s">
        <v>26</v>
      </c>
      <c r="H26" s="2">
        <v>4812</v>
      </c>
      <c r="I26" s="19">
        <v>3164</v>
      </c>
    </row>
    <row r="27" spans="1:9" x14ac:dyDescent="0.25">
      <c r="A27" s="18" t="s">
        <v>103</v>
      </c>
      <c r="B27" s="11">
        <v>43406</v>
      </c>
      <c r="C27" s="3" t="s">
        <v>104</v>
      </c>
      <c r="D27" s="3" t="s">
        <v>48</v>
      </c>
      <c r="E27" s="3" t="s">
        <v>49</v>
      </c>
      <c r="F27" s="3" t="s">
        <v>105</v>
      </c>
      <c r="G27" s="3" t="s">
        <v>26</v>
      </c>
      <c r="H27" s="4">
        <v>2544</v>
      </c>
      <c r="I27" s="20">
        <v>1176</v>
      </c>
    </row>
    <row r="28" spans="1:9" x14ac:dyDescent="0.25">
      <c r="A28" s="17" t="s">
        <v>106</v>
      </c>
      <c r="B28" s="10">
        <v>43436</v>
      </c>
      <c r="C28" s="1" t="s">
        <v>107</v>
      </c>
      <c r="D28" s="1" t="s">
        <v>38</v>
      </c>
      <c r="E28" s="1" t="s">
        <v>39</v>
      </c>
      <c r="F28" s="1" t="s">
        <v>40</v>
      </c>
      <c r="G28" s="1" t="s">
        <v>14</v>
      </c>
      <c r="H28" s="2">
        <v>4546</v>
      </c>
      <c r="I28" s="19">
        <v>2218</v>
      </c>
    </row>
    <row r="29" spans="1:9" x14ac:dyDescent="0.25">
      <c r="A29" s="18" t="s">
        <v>108</v>
      </c>
      <c r="B29" s="11">
        <v>43499</v>
      </c>
      <c r="C29" s="3" t="s">
        <v>109</v>
      </c>
      <c r="D29" s="3" t="s">
        <v>72</v>
      </c>
      <c r="E29" s="3" t="s">
        <v>79</v>
      </c>
      <c r="F29" s="3" t="s">
        <v>110</v>
      </c>
      <c r="G29" s="3" t="s">
        <v>20</v>
      </c>
      <c r="H29" s="4">
        <v>5630</v>
      </c>
      <c r="I29" s="20">
        <v>3294</v>
      </c>
    </row>
    <row r="30" spans="1:9" x14ac:dyDescent="0.25">
      <c r="A30" s="17" t="s">
        <v>111</v>
      </c>
      <c r="B30" s="10">
        <v>43893</v>
      </c>
      <c r="C30" s="1" t="s">
        <v>112</v>
      </c>
      <c r="D30" s="1" t="s">
        <v>29</v>
      </c>
      <c r="E30" s="1" t="s">
        <v>30</v>
      </c>
      <c r="F30" s="1" t="s">
        <v>30</v>
      </c>
      <c r="G30" s="1" t="s">
        <v>26</v>
      </c>
      <c r="H30" s="2">
        <v>4324</v>
      </c>
      <c r="I30" s="19">
        <v>2258</v>
      </c>
    </row>
    <row r="31" spans="1:9" x14ac:dyDescent="0.25">
      <c r="A31" s="18" t="s">
        <v>113</v>
      </c>
      <c r="B31" s="11">
        <v>43193</v>
      </c>
      <c r="C31" s="3" t="s">
        <v>114</v>
      </c>
      <c r="D31" s="3" t="s">
        <v>91</v>
      </c>
      <c r="E31" s="3" t="s">
        <v>115</v>
      </c>
      <c r="F31" s="3" t="s">
        <v>116</v>
      </c>
      <c r="G31" s="3" t="s">
        <v>26</v>
      </c>
      <c r="H31" s="4">
        <v>2065</v>
      </c>
      <c r="I31" s="20">
        <v>1540</v>
      </c>
    </row>
    <row r="32" spans="1:9" x14ac:dyDescent="0.25">
      <c r="A32" s="17" t="s">
        <v>117</v>
      </c>
      <c r="B32" s="10">
        <v>43223</v>
      </c>
      <c r="C32" s="1" t="s">
        <v>118</v>
      </c>
      <c r="D32" s="1" t="s">
        <v>23</v>
      </c>
      <c r="E32" s="1" t="s">
        <v>119</v>
      </c>
      <c r="F32" s="1" t="s">
        <v>119</v>
      </c>
      <c r="G32" s="1" t="s">
        <v>26</v>
      </c>
      <c r="H32" s="2">
        <v>3171</v>
      </c>
      <c r="I32" s="19">
        <v>1750</v>
      </c>
    </row>
    <row r="33" spans="1:9" x14ac:dyDescent="0.25">
      <c r="A33" s="18" t="s">
        <v>120</v>
      </c>
      <c r="B33" s="11">
        <v>43588</v>
      </c>
      <c r="C33" s="3" t="s">
        <v>121</v>
      </c>
      <c r="D33" s="3" t="s">
        <v>29</v>
      </c>
      <c r="E33" s="3" t="s">
        <v>30</v>
      </c>
      <c r="F33" s="3" t="s">
        <v>30</v>
      </c>
      <c r="G33" s="3" t="s">
        <v>26</v>
      </c>
      <c r="H33" s="4">
        <v>1929</v>
      </c>
      <c r="I33" s="20">
        <v>941</v>
      </c>
    </row>
    <row r="34" spans="1:9" x14ac:dyDescent="0.25">
      <c r="A34" s="17" t="s">
        <v>122</v>
      </c>
      <c r="B34" s="10">
        <v>43254</v>
      </c>
      <c r="C34" s="1" t="s">
        <v>123</v>
      </c>
      <c r="D34" s="1" t="s">
        <v>23</v>
      </c>
      <c r="E34" s="1" t="s">
        <v>119</v>
      </c>
      <c r="F34" s="1" t="s">
        <v>119</v>
      </c>
      <c r="G34" s="1" t="s">
        <v>26</v>
      </c>
      <c r="H34" s="2">
        <v>3885</v>
      </c>
      <c r="I34" s="19">
        <v>1786</v>
      </c>
    </row>
    <row r="35" spans="1:9" x14ac:dyDescent="0.25">
      <c r="A35" s="18" t="s">
        <v>124</v>
      </c>
      <c r="B35" s="11">
        <v>43254</v>
      </c>
      <c r="C35" s="3" t="s">
        <v>125</v>
      </c>
      <c r="D35" s="3" t="s">
        <v>17</v>
      </c>
      <c r="E35" s="3" t="s">
        <v>57</v>
      </c>
      <c r="F35" s="3" t="s">
        <v>57</v>
      </c>
      <c r="G35" s="3" t="s">
        <v>20</v>
      </c>
      <c r="H35" s="4">
        <v>2555</v>
      </c>
      <c r="I35" s="20">
        <v>1220</v>
      </c>
    </row>
    <row r="36" spans="1:9" x14ac:dyDescent="0.25">
      <c r="A36" s="17" t="s">
        <v>126</v>
      </c>
      <c r="B36" s="10">
        <v>43985</v>
      </c>
      <c r="C36" s="1" t="s">
        <v>127</v>
      </c>
      <c r="D36" s="1" t="s">
        <v>11</v>
      </c>
      <c r="E36" s="1" t="s">
        <v>128</v>
      </c>
      <c r="F36" s="1" t="s">
        <v>129</v>
      </c>
      <c r="G36" s="1" t="s">
        <v>14</v>
      </c>
      <c r="H36" s="2">
        <v>2248</v>
      </c>
      <c r="I36" s="19">
        <v>1165</v>
      </c>
    </row>
    <row r="37" spans="1:9" x14ac:dyDescent="0.25">
      <c r="A37" s="18" t="s">
        <v>130</v>
      </c>
      <c r="B37" s="11">
        <v>43680</v>
      </c>
      <c r="C37" s="3" t="s">
        <v>131</v>
      </c>
      <c r="D37" s="3" t="s">
        <v>38</v>
      </c>
      <c r="E37" s="3" t="s">
        <v>39</v>
      </c>
      <c r="F37" s="3" t="s">
        <v>132</v>
      </c>
      <c r="G37" s="3" t="s">
        <v>14</v>
      </c>
      <c r="H37" s="4">
        <v>3642</v>
      </c>
      <c r="I37" s="20">
        <v>2031</v>
      </c>
    </row>
    <row r="38" spans="1:9" x14ac:dyDescent="0.25">
      <c r="A38" s="17" t="s">
        <v>133</v>
      </c>
      <c r="B38" s="10">
        <v>44046</v>
      </c>
      <c r="C38" s="1" t="s">
        <v>134</v>
      </c>
      <c r="D38" s="1" t="s">
        <v>33</v>
      </c>
      <c r="E38" s="1" t="s">
        <v>34</v>
      </c>
      <c r="F38" s="1" t="s">
        <v>135</v>
      </c>
      <c r="G38" s="1" t="s">
        <v>26</v>
      </c>
      <c r="H38" s="2">
        <v>4851</v>
      </c>
      <c r="I38" s="19">
        <v>3162</v>
      </c>
    </row>
    <row r="39" spans="1:9" x14ac:dyDescent="0.25">
      <c r="A39" s="18" t="s">
        <v>136</v>
      </c>
      <c r="B39" s="11">
        <v>43346</v>
      </c>
      <c r="C39" s="3" t="s">
        <v>137</v>
      </c>
      <c r="D39" s="3" t="s">
        <v>23</v>
      </c>
      <c r="E39" s="3" t="s">
        <v>24</v>
      </c>
      <c r="F39" s="3" t="s">
        <v>138</v>
      </c>
      <c r="G39" s="3" t="s">
        <v>26</v>
      </c>
      <c r="H39" s="4">
        <v>4614</v>
      </c>
      <c r="I39" s="20">
        <v>2813</v>
      </c>
    </row>
    <row r="40" spans="1:9" x14ac:dyDescent="0.25">
      <c r="A40" s="17" t="s">
        <v>139</v>
      </c>
      <c r="B40" s="10">
        <v>43711</v>
      </c>
      <c r="C40" s="1" t="s">
        <v>140</v>
      </c>
      <c r="D40" s="1" t="s">
        <v>38</v>
      </c>
      <c r="E40" s="1" t="s">
        <v>39</v>
      </c>
      <c r="F40" s="1" t="s">
        <v>132</v>
      </c>
      <c r="G40" s="1" t="s">
        <v>14</v>
      </c>
      <c r="H40" s="2">
        <v>2596</v>
      </c>
      <c r="I40" s="19">
        <v>1435</v>
      </c>
    </row>
    <row r="41" spans="1:9" x14ac:dyDescent="0.25">
      <c r="A41" s="18" t="s">
        <v>141</v>
      </c>
      <c r="B41" s="11">
        <v>43407</v>
      </c>
      <c r="C41" s="3" t="s">
        <v>142</v>
      </c>
      <c r="D41" s="3" t="s">
        <v>11</v>
      </c>
      <c r="E41" s="3" t="s">
        <v>128</v>
      </c>
      <c r="F41" s="3" t="s">
        <v>129</v>
      </c>
      <c r="G41" s="3" t="s">
        <v>14</v>
      </c>
      <c r="H41" s="4">
        <v>3860</v>
      </c>
      <c r="I41" s="20">
        <v>2012</v>
      </c>
    </row>
    <row r="42" spans="1:9" x14ac:dyDescent="0.25">
      <c r="A42" s="17" t="s">
        <v>143</v>
      </c>
      <c r="B42" s="10">
        <v>43772</v>
      </c>
      <c r="C42" s="1" t="s">
        <v>144</v>
      </c>
      <c r="D42" s="1" t="s">
        <v>17</v>
      </c>
      <c r="E42" s="1" t="s">
        <v>145</v>
      </c>
      <c r="F42" s="1" t="s">
        <v>146</v>
      </c>
      <c r="G42" s="1" t="s">
        <v>20</v>
      </c>
      <c r="H42" s="2">
        <v>5706</v>
      </c>
      <c r="I42" s="19">
        <v>2651</v>
      </c>
    </row>
    <row r="43" spans="1:9" x14ac:dyDescent="0.25">
      <c r="A43" s="18" t="s">
        <v>147</v>
      </c>
      <c r="B43" s="11">
        <v>43802</v>
      </c>
      <c r="C43" s="3" t="s">
        <v>148</v>
      </c>
      <c r="D43" s="3" t="s">
        <v>33</v>
      </c>
      <c r="E43" s="3" t="s">
        <v>149</v>
      </c>
      <c r="F43" s="3" t="s">
        <v>150</v>
      </c>
      <c r="G43" s="3" t="s">
        <v>26</v>
      </c>
      <c r="H43" s="4">
        <v>2977</v>
      </c>
      <c r="I43" s="20">
        <v>2035</v>
      </c>
    </row>
    <row r="44" spans="1:9" x14ac:dyDescent="0.25">
      <c r="A44" s="17" t="s">
        <v>151</v>
      </c>
      <c r="B44" s="10">
        <v>44168</v>
      </c>
      <c r="C44" s="1" t="s">
        <v>152</v>
      </c>
      <c r="D44" s="1" t="s">
        <v>72</v>
      </c>
      <c r="E44" s="1" t="s">
        <v>87</v>
      </c>
      <c r="F44" s="1" t="s">
        <v>88</v>
      </c>
      <c r="G44" s="1" t="s">
        <v>20</v>
      </c>
      <c r="H44" s="2">
        <v>2934</v>
      </c>
      <c r="I44" s="19">
        <v>1871</v>
      </c>
    </row>
    <row r="45" spans="1:9" x14ac:dyDescent="0.25">
      <c r="A45" s="18" t="s">
        <v>153</v>
      </c>
      <c r="B45" s="11">
        <v>43865</v>
      </c>
      <c r="C45" s="3" t="s">
        <v>154</v>
      </c>
      <c r="D45" s="3" t="s">
        <v>33</v>
      </c>
      <c r="E45" s="3" t="s">
        <v>149</v>
      </c>
      <c r="F45" s="3" t="s">
        <v>155</v>
      </c>
      <c r="G45" s="3" t="s">
        <v>26</v>
      </c>
      <c r="H45" s="4">
        <v>3340</v>
      </c>
      <c r="I45" s="20">
        <v>1567</v>
      </c>
    </row>
    <row r="46" spans="1:9" x14ac:dyDescent="0.25">
      <c r="A46" s="17" t="s">
        <v>156</v>
      </c>
      <c r="B46" s="10">
        <v>43894</v>
      </c>
      <c r="C46" s="1" t="s">
        <v>157</v>
      </c>
      <c r="D46" s="1" t="s">
        <v>11</v>
      </c>
      <c r="E46" s="1" t="s">
        <v>12</v>
      </c>
      <c r="F46" s="1" t="s">
        <v>13</v>
      </c>
      <c r="G46" s="1" t="s">
        <v>14</v>
      </c>
      <c r="H46" s="2">
        <v>2039</v>
      </c>
      <c r="I46" s="19">
        <v>1119</v>
      </c>
    </row>
    <row r="47" spans="1:9" x14ac:dyDescent="0.25">
      <c r="A47" s="18" t="s">
        <v>158</v>
      </c>
      <c r="B47" s="11">
        <v>43194</v>
      </c>
      <c r="C47" s="3" t="s">
        <v>159</v>
      </c>
      <c r="D47" s="3" t="s">
        <v>43</v>
      </c>
      <c r="E47" s="3" t="s">
        <v>83</v>
      </c>
      <c r="F47" s="3" t="s">
        <v>160</v>
      </c>
      <c r="G47" s="3" t="s">
        <v>14</v>
      </c>
      <c r="H47" s="4">
        <v>4920</v>
      </c>
      <c r="I47" s="20">
        <v>2649</v>
      </c>
    </row>
    <row r="48" spans="1:9" x14ac:dyDescent="0.25">
      <c r="A48" s="17" t="s">
        <v>161</v>
      </c>
      <c r="B48" s="10">
        <v>43589</v>
      </c>
      <c r="C48" s="1" t="s">
        <v>162</v>
      </c>
      <c r="D48" s="1" t="s">
        <v>91</v>
      </c>
      <c r="E48" s="1" t="s">
        <v>101</v>
      </c>
      <c r="F48" s="1" t="s">
        <v>102</v>
      </c>
      <c r="G48" s="1" t="s">
        <v>26</v>
      </c>
      <c r="H48" s="2">
        <v>5214</v>
      </c>
      <c r="I48" s="19">
        <v>3304</v>
      </c>
    </row>
    <row r="49" spans="1:9" x14ac:dyDescent="0.25">
      <c r="A49" s="18" t="s">
        <v>163</v>
      </c>
      <c r="B49" s="11">
        <v>43285</v>
      </c>
      <c r="C49" s="3" t="s">
        <v>164</v>
      </c>
      <c r="D49" s="3" t="s">
        <v>38</v>
      </c>
      <c r="E49" s="3" t="s">
        <v>39</v>
      </c>
      <c r="F49" s="3" t="s">
        <v>132</v>
      </c>
      <c r="G49" s="3" t="s">
        <v>14</v>
      </c>
      <c r="H49" s="4">
        <v>1836</v>
      </c>
      <c r="I49" s="20">
        <v>1073</v>
      </c>
    </row>
    <row r="50" spans="1:9" x14ac:dyDescent="0.25">
      <c r="A50" s="17" t="s">
        <v>165</v>
      </c>
      <c r="B50" s="10">
        <v>43650</v>
      </c>
      <c r="C50" s="1" t="s">
        <v>166</v>
      </c>
      <c r="D50" s="1" t="s">
        <v>91</v>
      </c>
      <c r="E50" s="1" t="s">
        <v>101</v>
      </c>
      <c r="F50" s="1" t="s">
        <v>167</v>
      </c>
      <c r="G50" s="1" t="s">
        <v>26</v>
      </c>
      <c r="H50" s="2">
        <v>3497</v>
      </c>
      <c r="I50" s="19">
        <v>2360</v>
      </c>
    </row>
    <row r="51" spans="1:9" x14ac:dyDescent="0.25">
      <c r="A51" s="18" t="s">
        <v>168</v>
      </c>
      <c r="B51" s="11">
        <v>43681</v>
      </c>
      <c r="C51" s="3" t="s">
        <v>169</v>
      </c>
      <c r="D51" s="3" t="s">
        <v>11</v>
      </c>
      <c r="E51" s="3" t="s">
        <v>12</v>
      </c>
      <c r="F51" s="3" t="s">
        <v>13</v>
      </c>
      <c r="G51" s="3" t="s">
        <v>14</v>
      </c>
      <c r="H51" s="4">
        <v>4315</v>
      </c>
      <c r="I51" s="20">
        <v>3099</v>
      </c>
    </row>
    <row r="52" spans="1:9" x14ac:dyDescent="0.25">
      <c r="A52" s="17" t="s">
        <v>170</v>
      </c>
      <c r="B52" s="10">
        <v>43712</v>
      </c>
      <c r="C52" s="1" t="s">
        <v>171</v>
      </c>
      <c r="D52" s="1" t="s">
        <v>72</v>
      </c>
      <c r="E52" s="1" t="s">
        <v>172</v>
      </c>
      <c r="F52" s="1" t="s">
        <v>173</v>
      </c>
      <c r="G52" s="1" t="s">
        <v>20</v>
      </c>
      <c r="H52" s="2">
        <v>4097</v>
      </c>
      <c r="I52" s="19">
        <v>2433</v>
      </c>
    </row>
    <row r="53" spans="1:9" x14ac:dyDescent="0.25">
      <c r="A53" s="18" t="s">
        <v>174</v>
      </c>
      <c r="B53" s="11">
        <v>43742</v>
      </c>
      <c r="C53" s="3" t="s">
        <v>175</v>
      </c>
      <c r="D53" s="3" t="s">
        <v>72</v>
      </c>
      <c r="E53" s="3" t="s">
        <v>79</v>
      </c>
      <c r="F53" s="3" t="s">
        <v>176</v>
      </c>
      <c r="G53" s="3" t="s">
        <v>20</v>
      </c>
      <c r="H53" s="4">
        <v>4558</v>
      </c>
      <c r="I53" s="20">
        <v>2999</v>
      </c>
    </row>
    <row r="54" spans="1:9" x14ac:dyDescent="0.25">
      <c r="A54" s="17" t="s">
        <v>177</v>
      </c>
      <c r="B54" s="10">
        <v>43773</v>
      </c>
      <c r="C54" s="1" t="s">
        <v>178</v>
      </c>
      <c r="D54" s="1" t="s">
        <v>38</v>
      </c>
      <c r="E54" s="1" t="s">
        <v>179</v>
      </c>
      <c r="F54" s="1" t="s">
        <v>180</v>
      </c>
      <c r="G54" s="1" t="s">
        <v>14</v>
      </c>
      <c r="H54" s="2">
        <v>5665</v>
      </c>
      <c r="I54" s="19">
        <v>3164</v>
      </c>
    </row>
    <row r="55" spans="1:9" x14ac:dyDescent="0.25">
      <c r="A55" s="18" t="s">
        <v>181</v>
      </c>
      <c r="B55" s="11">
        <v>43803</v>
      </c>
      <c r="C55" s="3" t="s">
        <v>182</v>
      </c>
      <c r="D55" s="3" t="s">
        <v>38</v>
      </c>
      <c r="E55" s="3" t="s">
        <v>39</v>
      </c>
      <c r="F55" s="3" t="s">
        <v>132</v>
      </c>
      <c r="G55" s="3" t="s">
        <v>14</v>
      </c>
      <c r="H55" s="4">
        <v>5400</v>
      </c>
      <c r="I55" s="20">
        <v>2588</v>
      </c>
    </row>
    <row r="56" spans="1:9" x14ac:dyDescent="0.25">
      <c r="A56" s="17" t="s">
        <v>183</v>
      </c>
      <c r="B56" s="10">
        <v>43803</v>
      </c>
      <c r="C56" s="1" t="s">
        <v>184</v>
      </c>
      <c r="D56" s="1" t="s">
        <v>43</v>
      </c>
      <c r="E56" s="1" t="s">
        <v>83</v>
      </c>
      <c r="F56" s="1" t="s">
        <v>84</v>
      </c>
      <c r="G56" s="1" t="s">
        <v>14</v>
      </c>
      <c r="H56" s="2">
        <v>2811</v>
      </c>
      <c r="I56" s="19">
        <v>1544</v>
      </c>
    </row>
    <row r="57" spans="1:9" x14ac:dyDescent="0.25">
      <c r="A57" s="18" t="s">
        <v>185</v>
      </c>
      <c r="B57" s="11">
        <v>44169</v>
      </c>
      <c r="C57" s="3" t="s">
        <v>186</v>
      </c>
      <c r="D57" s="3" t="s">
        <v>11</v>
      </c>
      <c r="E57" s="3" t="s">
        <v>128</v>
      </c>
      <c r="F57" s="3" t="s">
        <v>187</v>
      </c>
      <c r="G57" s="3" t="s">
        <v>14</v>
      </c>
      <c r="H57" s="4">
        <v>5068</v>
      </c>
      <c r="I57" s="20">
        <v>3536</v>
      </c>
    </row>
    <row r="58" spans="1:9" x14ac:dyDescent="0.25">
      <c r="A58" s="17" t="s">
        <v>188</v>
      </c>
      <c r="B58" s="10">
        <v>43470</v>
      </c>
      <c r="C58" s="1" t="s">
        <v>189</v>
      </c>
      <c r="D58" s="1" t="s">
        <v>48</v>
      </c>
      <c r="E58" s="1" t="s">
        <v>49</v>
      </c>
      <c r="F58" s="1" t="s">
        <v>50</v>
      </c>
      <c r="G58" s="1" t="s">
        <v>26</v>
      </c>
      <c r="H58" s="2">
        <v>4186</v>
      </c>
      <c r="I58" s="19">
        <v>2713</v>
      </c>
    </row>
    <row r="59" spans="1:9" x14ac:dyDescent="0.25">
      <c r="A59" s="18" t="s">
        <v>190</v>
      </c>
      <c r="B59" s="11">
        <v>43835</v>
      </c>
      <c r="C59" s="3" t="s">
        <v>191</v>
      </c>
      <c r="D59" s="3" t="s">
        <v>72</v>
      </c>
      <c r="E59" s="3" t="s">
        <v>172</v>
      </c>
      <c r="F59" s="3" t="s">
        <v>192</v>
      </c>
      <c r="G59" s="3" t="s">
        <v>20</v>
      </c>
      <c r="H59" s="4">
        <v>5225</v>
      </c>
      <c r="I59" s="20">
        <v>2494</v>
      </c>
    </row>
    <row r="60" spans="1:9" x14ac:dyDescent="0.25">
      <c r="A60" s="17" t="s">
        <v>193</v>
      </c>
      <c r="B60" s="10">
        <v>43164</v>
      </c>
      <c r="C60" s="1" t="s">
        <v>194</v>
      </c>
      <c r="D60" s="1" t="s">
        <v>23</v>
      </c>
      <c r="E60" s="1" t="s">
        <v>119</v>
      </c>
      <c r="F60" s="1" t="s">
        <v>119</v>
      </c>
      <c r="G60" s="1" t="s">
        <v>26</v>
      </c>
      <c r="H60" s="2">
        <v>5516</v>
      </c>
      <c r="I60" s="19">
        <v>3661</v>
      </c>
    </row>
    <row r="61" spans="1:9" x14ac:dyDescent="0.25">
      <c r="A61" s="18" t="s">
        <v>195</v>
      </c>
      <c r="B61" s="11">
        <v>43529</v>
      </c>
      <c r="C61" s="3" t="s">
        <v>196</v>
      </c>
      <c r="D61" s="3" t="s">
        <v>11</v>
      </c>
      <c r="E61" s="3" t="s">
        <v>12</v>
      </c>
      <c r="F61" s="3" t="s">
        <v>13</v>
      </c>
      <c r="G61" s="3" t="s">
        <v>14</v>
      </c>
      <c r="H61" s="4">
        <v>2221</v>
      </c>
      <c r="I61" s="20">
        <v>1085</v>
      </c>
    </row>
    <row r="62" spans="1:9" x14ac:dyDescent="0.25">
      <c r="A62" s="17" t="s">
        <v>197</v>
      </c>
      <c r="B62" s="10">
        <v>43195</v>
      </c>
      <c r="C62" s="1" t="s">
        <v>198</v>
      </c>
      <c r="D62" s="1" t="s">
        <v>72</v>
      </c>
      <c r="E62" s="1" t="s">
        <v>87</v>
      </c>
      <c r="F62" s="1" t="s">
        <v>88</v>
      </c>
      <c r="G62" s="1" t="s">
        <v>20</v>
      </c>
      <c r="H62" s="2">
        <v>5028</v>
      </c>
      <c r="I62" s="19">
        <v>2482</v>
      </c>
    </row>
    <row r="63" spans="1:9" x14ac:dyDescent="0.25">
      <c r="A63" s="18" t="s">
        <v>199</v>
      </c>
      <c r="B63" s="11">
        <v>43926</v>
      </c>
      <c r="C63" s="3" t="s">
        <v>200</v>
      </c>
      <c r="D63" s="3" t="s">
        <v>11</v>
      </c>
      <c r="E63" s="3" t="s">
        <v>128</v>
      </c>
      <c r="F63" s="3" t="s">
        <v>129</v>
      </c>
      <c r="G63" s="3" t="s">
        <v>14</v>
      </c>
      <c r="H63" s="4">
        <v>4742</v>
      </c>
      <c r="I63" s="20">
        <v>3399</v>
      </c>
    </row>
    <row r="64" spans="1:9" x14ac:dyDescent="0.25">
      <c r="A64" s="17" t="s">
        <v>201</v>
      </c>
      <c r="B64" s="10">
        <v>43590</v>
      </c>
      <c r="C64" s="1" t="s">
        <v>202</v>
      </c>
      <c r="D64" s="1" t="s">
        <v>17</v>
      </c>
      <c r="E64" s="1" t="s">
        <v>145</v>
      </c>
      <c r="F64" s="1" t="s">
        <v>203</v>
      </c>
      <c r="G64" s="1" t="s">
        <v>20</v>
      </c>
      <c r="H64" s="2">
        <v>4106</v>
      </c>
      <c r="I64" s="19">
        <v>2765</v>
      </c>
    </row>
    <row r="65" spans="1:9" x14ac:dyDescent="0.25">
      <c r="A65" s="18" t="s">
        <v>204</v>
      </c>
      <c r="B65" s="11">
        <v>43621</v>
      </c>
      <c r="C65" s="3" t="s">
        <v>205</v>
      </c>
      <c r="D65" s="3" t="s">
        <v>29</v>
      </c>
      <c r="E65" s="3" t="s">
        <v>30</v>
      </c>
      <c r="F65" s="3" t="s">
        <v>30</v>
      </c>
      <c r="G65" s="3" t="s">
        <v>26</v>
      </c>
      <c r="H65" s="4">
        <v>5977</v>
      </c>
      <c r="I65" s="20">
        <v>2972</v>
      </c>
    </row>
    <row r="66" spans="1:9" x14ac:dyDescent="0.25">
      <c r="A66" s="17" t="s">
        <v>206</v>
      </c>
      <c r="B66" s="10">
        <v>43286</v>
      </c>
      <c r="C66" s="1" t="s">
        <v>207</v>
      </c>
      <c r="D66" s="1" t="s">
        <v>23</v>
      </c>
      <c r="E66" s="1" t="s">
        <v>24</v>
      </c>
      <c r="F66" s="1" t="s">
        <v>138</v>
      </c>
      <c r="G66" s="1" t="s">
        <v>26</v>
      </c>
      <c r="H66" s="2">
        <v>3255</v>
      </c>
      <c r="I66" s="19">
        <v>2301</v>
      </c>
    </row>
    <row r="67" spans="1:9" x14ac:dyDescent="0.25">
      <c r="A67" s="18" t="s">
        <v>208</v>
      </c>
      <c r="B67" s="11">
        <v>43651</v>
      </c>
      <c r="C67" s="3" t="s">
        <v>209</v>
      </c>
      <c r="D67" s="3" t="s">
        <v>33</v>
      </c>
      <c r="E67" s="3" t="s">
        <v>149</v>
      </c>
      <c r="F67" s="3" t="s">
        <v>155</v>
      </c>
      <c r="G67" s="3" t="s">
        <v>26</v>
      </c>
      <c r="H67" s="4">
        <v>2869</v>
      </c>
      <c r="I67" s="20">
        <v>1665</v>
      </c>
    </row>
    <row r="68" spans="1:9" x14ac:dyDescent="0.25">
      <c r="A68" s="17" t="s">
        <v>210</v>
      </c>
      <c r="B68" s="10">
        <v>43651</v>
      </c>
      <c r="C68" s="1" t="s">
        <v>211</v>
      </c>
      <c r="D68" s="1" t="s">
        <v>29</v>
      </c>
      <c r="E68" s="1" t="s">
        <v>30</v>
      </c>
      <c r="F68" s="1" t="s">
        <v>30</v>
      </c>
      <c r="G68" s="1" t="s">
        <v>26</v>
      </c>
      <c r="H68" s="2">
        <v>3728</v>
      </c>
      <c r="I68" s="19">
        <v>2263</v>
      </c>
    </row>
    <row r="69" spans="1:9" x14ac:dyDescent="0.25">
      <c r="A69" s="18" t="s">
        <v>212</v>
      </c>
      <c r="B69" s="11">
        <v>43317</v>
      </c>
      <c r="C69" s="3" t="s">
        <v>213</v>
      </c>
      <c r="D69" s="3" t="s">
        <v>11</v>
      </c>
      <c r="E69" s="3" t="s">
        <v>128</v>
      </c>
      <c r="F69" s="3" t="s">
        <v>129</v>
      </c>
      <c r="G69" s="3" t="s">
        <v>14</v>
      </c>
      <c r="H69" s="4">
        <v>4742</v>
      </c>
      <c r="I69" s="20">
        <v>3372</v>
      </c>
    </row>
    <row r="70" spans="1:9" x14ac:dyDescent="0.25">
      <c r="A70" s="17" t="s">
        <v>214</v>
      </c>
      <c r="B70" s="10">
        <v>43713</v>
      </c>
      <c r="C70" s="1" t="s">
        <v>215</v>
      </c>
      <c r="D70" s="1" t="s">
        <v>38</v>
      </c>
      <c r="E70" s="1" t="s">
        <v>39</v>
      </c>
      <c r="F70" s="1" t="s">
        <v>132</v>
      </c>
      <c r="G70" s="1" t="s">
        <v>14</v>
      </c>
      <c r="H70" s="2">
        <v>5390</v>
      </c>
      <c r="I70" s="19">
        <v>3744</v>
      </c>
    </row>
    <row r="71" spans="1:9" x14ac:dyDescent="0.25">
      <c r="A71" s="18" t="s">
        <v>216</v>
      </c>
      <c r="B71" s="11">
        <v>43713</v>
      </c>
      <c r="C71" s="3" t="s">
        <v>217</v>
      </c>
      <c r="D71" s="3" t="s">
        <v>17</v>
      </c>
      <c r="E71" s="3" t="s">
        <v>57</v>
      </c>
      <c r="F71" s="3" t="s">
        <v>57</v>
      </c>
      <c r="G71" s="3" t="s">
        <v>20</v>
      </c>
      <c r="H71" s="4">
        <v>5928</v>
      </c>
      <c r="I71" s="20">
        <v>3257</v>
      </c>
    </row>
    <row r="72" spans="1:9" x14ac:dyDescent="0.25">
      <c r="A72" s="17" t="s">
        <v>218</v>
      </c>
      <c r="B72" s="10">
        <v>43713</v>
      </c>
      <c r="C72" s="1" t="s">
        <v>219</v>
      </c>
      <c r="D72" s="1" t="s">
        <v>29</v>
      </c>
      <c r="E72" s="1" t="s">
        <v>30</v>
      </c>
      <c r="F72" s="1" t="s">
        <v>30</v>
      </c>
      <c r="G72" s="1" t="s">
        <v>26</v>
      </c>
      <c r="H72" s="2">
        <v>3546</v>
      </c>
      <c r="I72" s="19">
        <v>1696</v>
      </c>
    </row>
    <row r="73" spans="1:9" x14ac:dyDescent="0.25">
      <c r="A73" s="18" t="s">
        <v>220</v>
      </c>
      <c r="B73" s="11">
        <v>43378</v>
      </c>
      <c r="C73" s="3" t="s">
        <v>221</v>
      </c>
      <c r="D73" s="3" t="s">
        <v>43</v>
      </c>
      <c r="E73" s="3" t="s">
        <v>44</v>
      </c>
      <c r="F73" s="3" t="s">
        <v>60</v>
      </c>
      <c r="G73" s="3" t="s">
        <v>14</v>
      </c>
      <c r="H73" s="4">
        <v>4118</v>
      </c>
      <c r="I73" s="20">
        <v>2678</v>
      </c>
    </row>
    <row r="74" spans="1:9" x14ac:dyDescent="0.25">
      <c r="A74" s="17" t="s">
        <v>222</v>
      </c>
      <c r="B74" s="10">
        <v>43743</v>
      </c>
      <c r="C74" s="1" t="s">
        <v>223</v>
      </c>
      <c r="D74" s="1" t="s">
        <v>38</v>
      </c>
      <c r="E74" s="1" t="s">
        <v>179</v>
      </c>
      <c r="F74" s="1" t="s">
        <v>180</v>
      </c>
      <c r="G74" s="1" t="s">
        <v>14</v>
      </c>
      <c r="H74" s="2">
        <v>3057</v>
      </c>
      <c r="I74" s="19">
        <v>1609</v>
      </c>
    </row>
    <row r="75" spans="1:9" x14ac:dyDescent="0.25">
      <c r="A75" s="18" t="s">
        <v>224</v>
      </c>
      <c r="B75" s="11">
        <v>44140</v>
      </c>
      <c r="C75" s="3" t="s">
        <v>225</v>
      </c>
      <c r="D75" s="3" t="s">
        <v>72</v>
      </c>
      <c r="E75" s="3" t="s">
        <v>87</v>
      </c>
      <c r="F75" s="3" t="s">
        <v>88</v>
      </c>
      <c r="G75" s="3" t="s">
        <v>20</v>
      </c>
      <c r="H75" s="4">
        <v>2717</v>
      </c>
      <c r="I75" s="20">
        <v>1586</v>
      </c>
    </row>
    <row r="76" spans="1:9" x14ac:dyDescent="0.25">
      <c r="A76" s="17" t="s">
        <v>226</v>
      </c>
      <c r="B76" s="10">
        <v>43804</v>
      </c>
      <c r="C76" s="1" t="s">
        <v>227</v>
      </c>
      <c r="D76" s="1" t="s">
        <v>38</v>
      </c>
      <c r="E76" s="1" t="s">
        <v>179</v>
      </c>
      <c r="F76" s="1" t="s">
        <v>228</v>
      </c>
      <c r="G76" s="1" t="s">
        <v>14</v>
      </c>
      <c r="H76" s="2">
        <v>3529</v>
      </c>
      <c r="I76" s="19">
        <v>2337</v>
      </c>
    </row>
    <row r="77" spans="1:9" x14ac:dyDescent="0.25">
      <c r="A77" s="18" t="s">
        <v>229</v>
      </c>
      <c r="B77" s="11">
        <v>43804</v>
      </c>
      <c r="C77" s="3" t="s">
        <v>230</v>
      </c>
      <c r="D77" s="3" t="s">
        <v>43</v>
      </c>
      <c r="E77" s="3" t="s">
        <v>44</v>
      </c>
      <c r="F77" s="3" t="s">
        <v>60</v>
      </c>
      <c r="G77" s="3" t="s">
        <v>14</v>
      </c>
      <c r="H77" s="4">
        <v>3375</v>
      </c>
      <c r="I77" s="20">
        <v>1906</v>
      </c>
    </row>
    <row r="78" spans="1:9" x14ac:dyDescent="0.25">
      <c r="A78" s="17" t="s">
        <v>231</v>
      </c>
      <c r="B78" s="10">
        <v>43106</v>
      </c>
      <c r="C78" s="1" t="s">
        <v>232</v>
      </c>
      <c r="D78" s="1" t="s">
        <v>91</v>
      </c>
      <c r="E78" s="1" t="s">
        <v>115</v>
      </c>
      <c r="F78" s="1" t="s">
        <v>233</v>
      </c>
      <c r="G78" s="1" t="s">
        <v>26</v>
      </c>
      <c r="H78" s="2">
        <v>4434</v>
      </c>
      <c r="I78" s="19">
        <v>3126</v>
      </c>
    </row>
    <row r="79" spans="1:9" x14ac:dyDescent="0.25">
      <c r="A79" s="18" t="s">
        <v>234</v>
      </c>
      <c r="B79" s="11">
        <v>43471</v>
      </c>
      <c r="C79" s="3" t="s">
        <v>235</v>
      </c>
      <c r="D79" s="3" t="s">
        <v>43</v>
      </c>
      <c r="E79" s="3" t="s">
        <v>44</v>
      </c>
      <c r="F79" s="3" t="s">
        <v>60</v>
      </c>
      <c r="G79" s="3" t="s">
        <v>14</v>
      </c>
      <c r="H79" s="4">
        <v>4865</v>
      </c>
      <c r="I79" s="20">
        <v>2720</v>
      </c>
    </row>
    <row r="80" spans="1:9" x14ac:dyDescent="0.25">
      <c r="A80" s="17" t="s">
        <v>236</v>
      </c>
      <c r="B80" s="10">
        <v>43836</v>
      </c>
      <c r="C80" s="1" t="s">
        <v>237</v>
      </c>
      <c r="D80" s="1" t="s">
        <v>33</v>
      </c>
      <c r="E80" s="1" t="s">
        <v>34</v>
      </c>
      <c r="F80" s="1" t="s">
        <v>35</v>
      </c>
      <c r="G80" s="1" t="s">
        <v>26</v>
      </c>
      <c r="H80" s="2">
        <v>4681</v>
      </c>
      <c r="I80" s="19">
        <v>2486</v>
      </c>
    </row>
    <row r="81" spans="1:9" x14ac:dyDescent="0.25">
      <c r="A81" s="18" t="s">
        <v>238</v>
      </c>
      <c r="B81" s="11">
        <v>43502</v>
      </c>
      <c r="C81" s="3" t="s">
        <v>239</v>
      </c>
      <c r="D81" s="3" t="s">
        <v>23</v>
      </c>
      <c r="E81" s="3" t="s">
        <v>24</v>
      </c>
      <c r="F81" s="3" t="s">
        <v>25</v>
      </c>
      <c r="G81" s="3" t="s">
        <v>26</v>
      </c>
      <c r="H81" s="4">
        <v>4265</v>
      </c>
      <c r="I81" s="20">
        <v>2248</v>
      </c>
    </row>
    <row r="82" spans="1:9" x14ac:dyDescent="0.25">
      <c r="A82" s="17" t="s">
        <v>240</v>
      </c>
      <c r="B82" s="10">
        <v>43867</v>
      </c>
      <c r="C82" s="1" t="s">
        <v>241</v>
      </c>
      <c r="D82" s="1" t="s">
        <v>11</v>
      </c>
      <c r="E82" s="1" t="s">
        <v>128</v>
      </c>
      <c r="F82" s="1" t="s">
        <v>187</v>
      </c>
      <c r="G82" s="1" t="s">
        <v>14</v>
      </c>
      <c r="H82" s="2">
        <v>2385</v>
      </c>
      <c r="I82" s="19">
        <v>1417</v>
      </c>
    </row>
    <row r="83" spans="1:9" x14ac:dyDescent="0.25">
      <c r="A83" s="18" t="s">
        <v>242</v>
      </c>
      <c r="B83" s="11">
        <v>43591</v>
      </c>
      <c r="C83" s="3" t="s">
        <v>243</v>
      </c>
      <c r="D83" s="3" t="s">
        <v>38</v>
      </c>
      <c r="E83" s="3" t="s">
        <v>179</v>
      </c>
      <c r="F83" s="3" t="s">
        <v>228</v>
      </c>
      <c r="G83" s="3" t="s">
        <v>14</v>
      </c>
      <c r="H83" s="4">
        <v>1930</v>
      </c>
      <c r="I83" s="20">
        <v>926</v>
      </c>
    </row>
    <row r="84" spans="1:9" x14ac:dyDescent="0.25">
      <c r="A84" s="17" t="s">
        <v>244</v>
      </c>
      <c r="B84" s="10">
        <v>44080</v>
      </c>
      <c r="C84" s="1" t="s">
        <v>245</v>
      </c>
      <c r="D84" s="1" t="s">
        <v>48</v>
      </c>
      <c r="E84" s="1" t="s">
        <v>49</v>
      </c>
      <c r="F84" s="1" t="s">
        <v>105</v>
      </c>
      <c r="G84" s="1" t="s">
        <v>26</v>
      </c>
      <c r="H84" s="2">
        <v>5867</v>
      </c>
      <c r="I84" s="19">
        <v>3242</v>
      </c>
    </row>
    <row r="85" spans="1:9" x14ac:dyDescent="0.25">
      <c r="A85" s="18" t="s">
        <v>246</v>
      </c>
      <c r="B85" s="11">
        <v>44080</v>
      </c>
      <c r="C85" s="3" t="s">
        <v>247</v>
      </c>
      <c r="D85" s="3" t="s">
        <v>11</v>
      </c>
      <c r="E85" s="3" t="s">
        <v>128</v>
      </c>
      <c r="F85" s="3" t="s">
        <v>187</v>
      </c>
      <c r="G85" s="3" t="s">
        <v>14</v>
      </c>
      <c r="H85" s="4">
        <v>5999</v>
      </c>
      <c r="I85" s="20">
        <v>4342</v>
      </c>
    </row>
    <row r="86" spans="1:9" x14ac:dyDescent="0.25">
      <c r="A86" s="17" t="s">
        <v>248</v>
      </c>
      <c r="B86" s="10">
        <v>43379</v>
      </c>
      <c r="C86" s="1" t="s">
        <v>249</v>
      </c>
      <c r="D86" s="1" t="s">
        <v>11</v>
      </c>
      <c r="E86" s="1" t="s">
        <v>12</v>
      </c>
      <c r="F86" s="1" t="s">
        <v>13</v>
      </c>
      <c r="G86" s="1" t="s">
        <v>14</v>
      </c>
      <c r="H86" s="2">
        <v>4073</v>
      </c>
      <c r="I86" s="19">
        <v>2049</v>
      </c>
    </row>
    <row r="87" spans="1:9" x14ac:dyDescent="0.25">
      <c r="A87" s="18" t="s">
        <v>250</v>
      </c>
      <c r="B87" s="11">
        <v>43744</v>
      </c>
      <c r="C87" s="3" t="s">
        <v>251</v>
      </c>
      <c r="D87" s="3" t="s">
        <v>38</v>
      </c>
      <c r="E87" s="3" t="s">
        <v>39</v>
      </c>
      <c r="F87" s="3" t="s">
        <v>40</v>
      </c>
      <c r="G87" s="3" t="s">
        <v>14</v>
      </c>
      <c r="H87" s="4">
        <v>5202</v>
      </c>
      <c r="I87" s="20">
        <v>2822</v>
      </c>
    </row>
    <row r="88" spans="1:9" x14ac:dyDescent="0.25">
      <c r="A88" s="17" t="s">
        <v>252</v>
      </c>
      <c r="B88" s="10">
        <v>44141</v>
      </c>
      <c r="C88" s="1" t="s">
        <v>253</v>
      </c>
      <c r="D88" s="1" t="s">
        <v>91</v>
      </c>
      <c r="E88" s="1" t="s">
        <v>101</v>
      </c>
      <c r="F88" s="1" t="s">
        <v>167</v>
      </c>
      <c r="G88" s="1" t="s">
        <v>26</v>
      </c>
      <c r="H88" s="2">
        <v>4284</v>
      </c>
      <c r="I88" s="19">
        <v>3128</v>
      </c>
    </row>
    <row r="89" spans="1:9" x14ac:dyDescent="0.25">
      <c r="A89" s="18" t="s">
        <v>254</v>
      </c>
      <c r="B89" s="11">
        <v>43805</v>
      </c>
      <c r="C89" s="3" t="s">
        <v>255</v>
      </c>
      <c r="D89" s="3" t="s">
        <v>11</v>
      </c>
      <c r="E89" s="3" t="s">
        <v>12</v>
      </c>
      <c r="F89" s="3" t="s">
        <v>12</v>
      </c>
      <c r="G89" s="3" t="s">
        <v>14</v>
      </c>
      <c r="H89" s="4">
        <v>4671</v>
      </c>
      <c r="I89" s="20">
        <v>3248</v>
      </c>
    </row>
    <row r="90" spans="1:9" x14ac:dyDescent="0.25">
      <c r="A90" s="17" t="s">
        <v>256</v>
      </c>
      <c r="B90" s="10">
        <v>43805</v>
      </c>
      <c r="C90" s="1" t="s">
        <v>257</v>
      </c>
      <c r="D90" s="1" t="s">
        <v>23</v>
      </c>
      <c r="E90" s="1" t="s">
        <v>119</v>
      </c>
      <c r="F90" s="1" t="s">
        <v>119</v>
      </c>
      <c r="G90" s="1" t="s">
        <v>26</v>
      </c>
      <c r="H90" s="2">
        <v>1806</v>
      </c>
      <c r="I90" s="19">
        <v>905</v>
      </c>
    </row>
    <row r="91" spans="1:9" x14ac:dyDescent="0.25">
      <c r="A91" s="18" t="s">
        <v>258</v>
      </c>
      <c r="B91" s="11">
        <v>44171</v>
      </c>
      <c r="C91" s="3" t="s">
        <v>259</v>
      </c>
      <c r="D91" s="3" t="s">
        <v>17</v>
      </c>
      <c r="E91" s="3" t="s">
        <v>57</v>
      </c>
      <c r="F91" s="3" t="s">
        <v>57</v>
      </c>
      <c r="G91" s="3" t="s">
        <v>20</v>
      </c>
      <c r="H91" s="4">
        <v>3455</v>
      </c>
      <c r="I91" s="20">
        <v>1830</v>
      </c>
    </row>
    <row r="92" spans="1:9" x14ac:dyDescent="0.25">
      <c r="A92" s="17" t="s">
        <v>260</v>
      </c>
      <c r="B92" s="10">
        <v>43837</v>
      </c>
      <c r="C92" s="1" t="s">
        <v>261</v>
      </c>
      <c r="D92" s="1" t="s">
        <v>11</v>
      </c>
      <c r="E92" s="1" t="s">
        <v>12</v>
      </c>
      <c r="F92" s="1" t="s">
        <v>12</v>
      </c>
      <c r="G92" s="1" t="s">
        <v>14</v>
      </c>
      <c r="H92" s="2">
        <v>3533</v>
      </c>
      <c r="I92" s="19">
        <v>2286</v>
      </c>
    </row>
    <row r="93" spans="1:9" x14ac:dyDescent="0.25">
      <c r="A93" s="18" t="s">
        <v>262</v>
      </c>
      <c r="B93" s="11">
        <v>43562</v>
      </c>
      <c r="C93" s="3" t="s">
        <v>263</v>
      </c>
      <c r="D93" s="3" t="s">
        <v>43</v>
      </c>
      <c r="E93" s="3" t="s">
        <v>44</v>
      </c>
      <c r="F93" s="3" t="s">
        <v>60</v>
      </c>
      <c r="G93" s="3" t="s">
        <v>14</v>
      </c>
      <c r="H93" s="4">
        <v>4880</v>
      </c>
      <c r="I93" s="20">
        <v>3612</v>
      </c>
    </row>
    <row r="94" spans="1:9" x14ac:dyDescent="0.25">
      <c r="A94" s="17" t="s">
        <v>264</v>
      </c>
      <c r="B94" s="10">
        <v>43562</v>
      </c>
      <c r="C94" s="1" t="s">
        <v>265</v>
      </c>
      <c r="D94" s="1" t="s">
        <v>72</v>
      </c>
      <c r="E94" s="1" t="s">
        <v>73</v>
      </c>
      <c r="F94" s="1" t="s">
        <v>74</v>
      </c>
      <c r="G94" s="1" t="s">
        <v>20</v>
      </c>
      <c r="H94" s="2">
        <v>1572</v>
      </c>
      <c r="I94" s="19">
        <v>930</v>
      </c>
    </row>
    <row r="95" spans="1:9" x14ac:dyDescent="0.25">
      <c r="A95" s="18" t="s">
        <v>266</v>
      </c>
      <c r="B95" s="11">
        <v>43958</v>
      </c>
      <c r="C95" s="3" t="s">
        <v>267</v>
      </c>
      <c r="D95" s="3" t="s">
        <v>33</v>
      </c>
      <c r="E95" s="3" t="s">
        <v>149</v>
      </c>
      <c r="F95" s="3" t="s">
        <v>150</v>
      </c>
      <c r="G95" s="3" t="s">
        <v>26</v>
      </c>
      <c r="H95" s="4">
        <v>3948</v>
      </c>
      <c r="I95" s="20">
        <v>1870</v>
      </c>
    </row>
    <row r="96" spans="1:9" x14ac:dyDescent="0.25">
      <c r="A96" s="17" t="s">
        <v>268</v>
      </c>
      <c r="B96" s="10">
        <v>43623</v>
      </c>
      <c r="C96" s="1" t="s">
        <v>269</v>
      </c>
      <c r="D96" s="1" t="s">
        <v>33</v>
      </c>
      <c r="E96" s="1" t="s">
        <v>149</v>
      </c>
      <c r="F96" s="1" t="s">
        <v>155</v>
      </c>
      <c r="G96" s="1" t="s">
        <v>26</v>
      </c>
      <c r="H96" s="2">
        <v>2199</v>
      </c>
      <c r="I96" s="19">
        <v>1051</v>
      </c>
    </row>
    <row r="97" spans="1:9" x14ac:dyDescent="0.25">
      <c r="A97" s="18" t="s">
        <v>270</v>
      </c>
      <c r="B97" s="11">
        <v>43989</v>
      </c>
      <c r="C97" s="3" t="s">
        <v>271</v>
      </c>
      <c r="D97" s="3" t="s">
        <v>91</v>
      </c>
      <c r="E97" s="3" t="s">
        <v>101</v>
      </c>
      <c r="F97" s="3" t="s">
        <v>102</v>
      </c>
      <c r="G97" s="3" t="s">
        <v>26</v>
      </c>
      <c r="H97" s="4">
        <v>3953</v>
      </c>
      <c r="I97" s="20">
        <v>2850</v>
      </c>
    </row>
    <row r="98" spans="1:9" x14ac:dyDescent="0.25">
      <c r="A98" s="17" t="s">
        <v>272</v>
      </c>
      <c r="B98" s="10">
        <v>43989</v>
      </c>
      <c r="C98" s="1" t="s">
        <v>273</v>
      </c>
      <c r="D98" s="1" t="s">
        <v>11</v>
      </c>
      <c r="E98" s="1" t="s">
        <v>12</v>
      </c>
      <c r="F98" s="1" t="s">
        <v>12</v>
      </c>
      <c r="G98" s="1" t="s">
        <v>14</v>
      </c>
      <c r="H98" s="2">
        <v>3382</v>
      </c>
      <c r="I98" s="19">
        <v>1736</v>
      </c>
    </row>
    <row r="99" spans="1:9" x14ac:dyDescent="0.25">
      <c r="A99" s="18" t="s">
        <v>274</v>
      </c>
      <c r="B99" s="11">
        <v>43989</v>
      </c>
      <c r="C99" s="3" t="s">
        <v>275</v>
      </c>
      <c r="D99" s="3" t="s">
        <v>23</v>
      </c>
      <c r="E99" s="3" t="s">
        <v>119</v>
      </c>
      <c r="F99" s="3" t="s">
        <v>119</v>
      </c>
      <c r="G99" s="3" t="s">
        <v>26</v>
      </c>
      <c r="H99" s="4">
        <v>4640</v>
      </c>
      <c r="I99" s="20">
        <v>2094</v>
      </c>
    </row>
    <row r="100" spans="1:9" x14ac:dyDescent="0.25">
      <c r="A100" s="17" t="s">
        <v>276</v>
      </c>
      <c r="B100" s="10">
        <v>43319</v>
      </c>
      <c r="C100" s="1" t="s">
        <v>277</v>
      </c>
      <c r="D100" s="1" t="s">
        <v>17</v>
      </c>
      <c r="E100" s="1" t="s">
        <v>18</v>
      </c>
      <c r="F100" s="1" t="s">
        <v>278</v>
      </c>
      <c r="G100" s="1" t="s">
        <v>20</v>
      </c>
      <c r="H100" s="2">
        <v>5743</v>
      </c>
      <c r="I100" s="19">
        <v>3384</v>
      </c>
    </row>
    <row r="101" spans="1:9" x14ac:dyDescent="0.25">
      <c r="A101" s="18" t="s">
        <v>279</v>
      </c>
      <c r="B101" s="11">
        <v>43350</v>
      </c>
      <c r="C101" s="3" t="s">
        <v>162</v>
      </c>
      <c r="D101" s="3" t="s">
        <v>23</v>
      </c>
      <c r="E101" s="3" t="s">
        <v>119</v>
      </c>
      <c r="F101" s="3" t="s">
        <v>119</v>
      </c>
      <c r="G101" s="3" t="s">
        <v>26</v>
      </c>
      <c r="H101" s="4">
        <v>2408</v>
      </c>
      <c r="I101" s="20">
        <v>1688</v>
      </c>
    </row>
    <row r="102" spans="1:9" x14ac:dyDescent="0.25">
      <c r="A102" s="17" t="s">
        <v>280</v>
      </c>
      <c r="B102" s="10">
        <v>44081</v>
      </c>
      <c r="C102" s="1" t="s">
        <v>281</v>
      </c>
      <c r="D102" s="1" t="s">
        <v>23</v>
      </c>
      <c r="E102" s="1" t="s">
        <v>24</v>
      </c>
      <c r="F102" s="1" t="s">
        <v>138</v>
      </c>
      <c r="G102" s="1" t="s">
        <v>26</v>
      </c>
      <c r="H102" s="2">
        <v>4097</v>
      </c>
      <c r="I102" s="19">
        <v>2633</v>
      </c>
    </row>
    <row r="103" spans="1:9" x14ac:dyDescent="0.25">
      <c r="A103" s="18" t="s">
        <v>282</v>
      </c>
      <c r="B103" s="11">
        <v>44081</v>
      </c>
      <c r="C103" s="3" t="s">
        <v>283</v>
      </c>
      <c r="D103" s="3" t="s">
        <v>11</v>
      </c>
      <c r="E103" s="3" t="s">
        <v>12</v>
      </c>
      <c r="F103" s="3" t="s">
        <v>13</v>
      </c>
      <c r="G103" s="3" t="s">
        <v>14</v>
      </c>
      <c r="H103" s="4">
        <v>3460</v>
      </c>
      <c r="I103" s="20">
        <v>2130</v>
      </c>
    </row>
    <row r="104" spans="1:9" x14ac:dyDescent="0.25">
      <c r="A104" s="17" t="s">
        <v>284</v>
      </c>
      <c r="B104" s="10">
        <v>43745</v>
      </c>
      <c r="C104" s="1" t="s">
        <v>285</v>
      </c>
      <c r="D104" s="1" t="s">
        <v>33</v>
      </c>
      <c r="E104" s="1" t="s">
        <v>34</v>
      </c>
      <c r="F104" s="1" t="s">
        <v>35</v>
      </c>
      <c r="G104" s="1" t="s">
        <v>26</v>
      </c>
      <c r="H104" s="2">
        <v>2670</v>
      </c>
      <c r="I104" s="19">
        <v>1413</v>
      </c>
    </row>
    <row r="105" spans="1:9" x14ac:dyDescent="0.25">
      <c r="A105" s="18" t="s">
        <v>286</v>
      </c>
      <c r="B105" s="11">
        <v>44111</v>
      </c>
      <c r="C105" s="3" t="s">
        <v>287</v>
      </c>
      <c r="D105" s="3" t="s">
        <v>38</v>
      </c>
      <c r="E105" s="3" t="s">
        <v>179</v>
      </c>
      <c r="F105" s="3" t="s">
        <v>228</v>
      </c>
      <c r="G105" s="3" t="s">
        <v>14</v>
      </c>
      <c r="H105" s="4">
        <v>1552</v>
      </c>
      <c r="I105" s="20">
        <v>1132</v>
      </c>
    </row>
    <row r="106" spans="1:9" x14ac:dyDescent="0.25">
      <c r="A106" s="17" t="s">
        <v>288</v>
      </c>
      <c r="B106" s="10">
        <v>44142</v>
      </c>
      <c r="C106" s="1" t="s">
        <v>289</v>
      </c>
      <c r="D106" s="1" t="s">
        <v>17</v>
      </c>
      <c r="E106" s="1" t="s">
        <v>18</v>
      </c>
      <c r="F106" s="1" t="s">
        <v>19</v>
      </c>
      <c r="G106" s="1" t="s">
        <v>20</v>
      </c>
      <c r="H106" s="2">
        <v>5547</v>
      </c>
      <c r="I106" s="19">
        <v>2539</v>
      </c>
    </row>
    <row r="107" spans="1:9" x14ac:dyDescent="0.25">
      <c r="A107" s="18" t="s">
        <v>290</v>
      </c>
      <c r="B107" s="11">
        <v>44172</v>
      </c>
      <c r="C107" s="3" t="s">
        <v>291</v>
      </c>
      <c r="D107" s="3" t="s">
        <v>23</v>
      </c>
      <c r="E107" s="3" t="s">
        <v>119</v>
      </c>
      <c r="F107" s="3" t="s">
        <v>119</v>
      </c>
      <c r="G107" s="3" t="s">
        <v>26</v>
      </c>
      <c r="H107" s="4">
        <v>1822</v>
      </c>
      <c r="I107" s="20">
        <v>1119</v>
      </c>
    </row>
    <row r="108" spans="1:9" x14ac:dyDescent="0.25">
      <c r="A108" s="17" t="s">
        <v>292</v>
      </c>
      <c r="B108" s="10">
        <v>43869</v>
      </c>
      <c r="C108" s="1" t="s">
        <v>293</v>
      </c>
      <c r="D108" s="1" t="s">
        <v>91</v>
      </c>
      <c r="E108" s="1" t="s">
        <v>115</v>
      </c>
      <c r="F108" s="1" t="s">
        <v>116</v>
      </c>
      <c r="G108" s="1" t="s">
        <v>26</v>
      </c>
      <c r="H108" s="2">
        <v>4268</v>
      </c>
      <c r="I108" s="19">
        <v>2681</v>
      </c>
    </row>
    <row r="109" spans="1:9" x14ac:dyDescent="0.25">
      <c r="A109" s="18" t="s">
        <v>294</v>
      </c>
      <c r="B109" s="11">
        <v>43563</v>
      </c>
      <c r="C109" s="3" t="s">
        <v>295</v>
      </c>
      <c r="D109" s="3" t="s">
        <v>23</v>
      </c>
      <c r="E109" s="3" t="s">
        <v>119</v>
      </c>
      <c r="F109" s="3" t="s">
        <v>119</v>
      </c>
      <c r="G109" s="3" t="s">
        <v>26</v>
      </c>
      <c r="H109" s="4">
        <v>4732</v>
      </c>
      <c r="I109" s="20">
        <v>2149</v>
      </c>
    </row>
    <row r="110" spans="1:9" x14ac:dyDescent="0.25">
      <c r="A110" s="17" t="s">
        <v>296</v>
      </c>
      <c r="B110" s="10">
        <v>43929</v>
      </c>
      <c r="C110" s="1" t="s">
        <v>297</v>
      </c>
      <c r="D110" s="1" t="s">
        <v>33</v>
      </c>
      <c r="E110" s="1" t="s">
        <v>149</v>
      </c>
      <c r="F110" s="1" t="s">
        <v>155</v>
      </c>
      <c r="G110" s="1" t="s">
        <v>26</v>
      </c>
      <c r="H110" s="2">
        <v>4727</v>
      </c>
      <c r="I110" s="19">
        <v>2966</v>
      </c>
    </row>
    <row r="111" spans="1:9" x14ac:dyDescent="0.25">
      <c r="A111" s="18" t="s">
        <v>298</v>
      </c>
      <c r="B111" s="11">
        <v>43228</v>
      </c>
      <c r="C111" s="3" t="s">
        <v>299</v>
      </c>
      <c r="D111" s="3" t="s">
        <v>33</v>
      </c>
      <c r="E111" s="3" t="s">
        <v>34</v>
      </c>
      <c r="F111" s="3" t="s">
        <v>135</v>
      </c>
      <c r="G111" s="3" t="s">
        <v>26</v>
      </c>
      <c r="H111" s="4">
        <v>4821</v>
      </c>
      <c r="I111" s="20">
        <v>3161</v>
      </c>
    </row>
    <row r="112" spans="1:9" x14ac:dyDescent="0.25">
      <c r="A112" s="17" t="s">
        <v>300</v>
      </c>
      <c r="B112" s="10">
        <v>43959</v>
      </c>
      <c r="C112" s="1" t="s">
        <v>301</v>
      </c>
      <c r="D112" s="1" t="s">
        <v>38</v>
      </c>
      <c r="E112" s="1" t="s">
        <v>179</v>
      </c>
      <c r="F112" s="1" t="s">
        <v>228</v>
      </c>
      <c r="G112" s="1" t="s">
        <v>14</v>
      </c>
      <c r="H112" s="2">
        <v>4633</v>
      </c>
      <c r="I112" s="19">
        <v>3171</v>
      </c>
    </row>
    <row r="113" spans="1:9" x14ac:dyDescent="0.25">
      <c r="A113" s="18" t="s">
        <v>302</v>
      </c>
      <c r="B113" s="11">
        <v>44020</v>
      </c>
      <c r="C113" s="3" t="s">
        <v>303</v>
      </c>
      <c r="D113" s="3" t="s">
        <v>11</v>
      </c>
      <c r="E113" s="3" t="s">
        <v>128</v>
      </c>
      <c r="F113" s="3" t="s">
        <v>187</v>
      </c>
      <c r="G113" s="3" t="s">
        <v>14</v>
      </c>
      <c r="H113" s="4">
        <v>2736</v>
      </c>
      <c r="I113" s="20">
        <v>1592</v>
      </c>
    </row>
    <row r="114" spans="1:9" x14ac:dyDescent="0.25">
      <c r="A114" s="17" t="s">
        <v>304</v>
      </c>
      <c r="B114" s="10">
        <v>43320</v>
      </c>
      <c r="C114" s="1" t="s">
        <v>305</v>
      </c>
      <c r="D114" s="1" t="s">
        <v>43</v>
      </c>
      <c r="E114" s="1" t="s">
        <v>44</v>
      </c>
      <c r="F114" s="1" t="s">
        <v>45</v>
      </c>
      <c r="G114" s="1" t="s">
        <v>14</v>
      </c>
      <c r="H114" s="2">
        <v>3225</v>
      </c>
      <c r="I114" s="19">
        <v>2145</v>
      </c>
    </row>
    <row r="115" spans="1:9" x14ac:dyDescent="0.25">
      <c r="A115" s="18" t="s">
        <v>306</v>
      </c>
      <c r="B115" s="11">
        <v>43320</v>
      </c>
      <c r="C115" s="3" t="s">
        <v>307</v>
      </c>
      <c r="D115" s="3" t="s">
        <v>33</v>
      </c>
      <c r="E115" s="3" t="s">
        <v>34</v>
      </c>
      <c r="F115" s="3" t="s">
        <v>135</v>
      </c>
      <c r="G115" s="3" t="s">
        <v>26</v>
      </c>
      <c r="H115" s="4">
        <v>5630</v>
      </c>
      <c r="I115" s="20">
        <v>3323</v>
      </c>
    </row>
    <row r="116" spans="1:9" x14ac:dyDescent="0.25">
      <c r="A116" s="17" t="s">
        <v>308</v>
      </c>
      <c r="B116" s="10">
        <v>44051</v>
      </c>
      <c r="C116" s="1" t="s">
        <v>309</v>
      </c>
      <c r="D116" s="1" t="s">
        <v>23</v>
      </c>
      <c r="E116" s="1" t="s">
        <v>24</v>
      </c>
      <c r="F116" s="1" t="s">
        <v>138</v>
      </c>
      <c r="G116" s="1" t="s">
        <v>26</v>
      </c>
      <c r="H116" s="2">
        <v>1871</v>
      </c>
      <c r="I116" s="19">
        <v>1373</v>
      </c>
    </row>
    <row r="117" spans="1:9" x14ac:dyDescent="0.25">
      <c r="A117" s="18" t="s">
        <v>310</v>
      </c>
      <c r="B117" s="11">
        <v>44082</v>
      </c>
      <c r="C117" s="3" t="s">
        <v>311</v>
      </c>
      <c r="D117" s="3" t="s">
        <v>38</v>
      </c>
      <c r="E117" s="3" t="s">
        <v>39</v>
      </c>
      <c r="F117" s="3" t="s">
        <v>132</v>
      </c>
      <c r="G117" s="3" t="s">
        <v>14</v>
      </c>
      <c r="H117" s="4">
        <v>2624</v>
      </c>
      <c r="I117" s="20">
        <v>1266</v>
      </c>
    </row>
    <row r="118" spans="1:9" x14ac:dyDescent="0.25">
      <c r="A118" s="17" t="s">
        <v>312</v>
      </c>
      <c r="B118" s="10">
        <v>44082</v>
      </c>
      <c r="C118" s="1" t="s">
        <v>313</v>
      </c>
      <c r="D118" s="1" t="s">
        <v>17</v>
      </c>
      <c r="E118" s="1" t="s">
        <v>18</v>
      </c>
      <c r="F118" s="1" t="s">
        <v>63</v>
      </c>
      <c r="G118" s="1" t="s">
        <v>20</v>
      </c>
      <c r="H118" s="2">
        <v>2103</v>
      </c>
      <c r="I118" s="19">
        <v>1450</v>
      </c>
    </row>
    <row r="119" spans="1:9" x14ac:dyDescent="0.25">
      <c r="A119" s="18" t="s">
        <v>314</v>
      </c>
      <c r="B119" s="11">
        <v>43381</v>
      </c>
      <c r="C119" s="3" t="s">
        <v>315</v>
      </c>
      <c r="D119" s="3" t="s">
        <v>29</v>
      </c>
      <c r="E119" s="3" t="s">
        <v>30</v>
      </c>
      <c r="F119" s="3" t="s">
        <v>30</v>
      </c>
      <c r="G119" s="3" t="s">
        <v>26</v>
      </c>
      <c r="H119" s="4">
        <v>1773</v>
      </c>
      <c r="I119" s="20">
        <v>1106</v>
      </c>
    </row>
    <row r="120" spans="1:9" x14ac:dyDescent="0.25">
      <c r="A120" s="17" t="s">
        <v>316</v>
      </c>
      <c r="B120" s="10">
        <v>43777</v>
      </c>
      <c r="C120" s="1" t="s">
        <v>317</v>
      </c>
      <c r="D120" s="1" t="s">
        <v>91</v>
      </c>
      <c r="E120" s="1" t="s">
        <v>115</v>
      </c>
      <c r="F120" s="1" t="s">
        <v>233</v>
      </c>
      <c r="G120" s="1" t="s">
        <v>26</v>
      </c>
      <c r="H120" s="2">
        <v>5654</v>
      </c>
      <c r="I120" s="19">
        <v>3068</v>
      </c>
    </row>
    <row r="121" spans="1:9" x14ac:dyDescent="0.25">
      <c r="A121" s="18" t="s">
        <v>318</v>
      </c>
      <c r="B121" s="11">
        <v>43777</v>
      </c>
      <c r="C121" s="3" t="s">
        <v>319</v>
      </c>
      <c r="D121" s="3" t="s">
        <v>91</v>
      </c>
      <c r="E121" s="3" t="s">
        <v>115</v>
      </c>
      <c r="F121" s="3" t="s">
        <v>116</v>
      </c>
      <c r="G121" s="3" t="s">
        <v>26</v>
      </c>
      <c r="H121" s="4">
        <v>1542</v>
      </c>
      <c r="I121" s="20">
        <v>1140</v>
      </c>
    </row>
    <row r="122" spans="1:9" x14ac:dyDescent="0.25">
      <c r="A122" s="17" t="s">
        <v>320</v>
      </c>
      <c r="B122" s="10">
        <v>43109</v>
      </c>
      <c r="C122" s="1" t="s">
        <v>321</v>
      </c>
      <c r="D122" s="1" t="s">
        <v>17</v>
      </c>
      <c r="E122" s="1" t="s">
        <v>18</v>
      </c>
      <c r="F122" s="1" t="s">
        <v>278</v>
      </c>
      <c r="G122" s="1" t="s">
        <v>20</v>
      </c>
      <c r="H122" s="2">
        <v>4320</v>
      </c>
      <c r="I122" s="19">
        <v>2348</v>
      </c>
    </row>
    <row r="123" spans="1:9" x14ac:dyDescent="0.25">
      <c r="A123" s="18" t="s">
        <v>322</v>
      </c>
      <c r="B123" s="11">
        <v>43839</v>
      </c>
      <c r="C123" s="3" t="s">
        <v>323</v>
      </c>
      <c r="D123" s="3" t="s">
        <v>48</v>
      </c>
      <c r="E123" s="3" t="s">
        <v>49</v>
      </c>
      <c r="F123" s="3" t="s">
        <v>50</v>
      </c>
      <c r="G123" s="3" t="s">
        <v>26</v>
      </c>
      <c r="H123" s="4">
        <v>4746</v>
      </c>
      <c r="I123" s="20">
        <v>3026</v>
      </c>
    </row>
    <row r="124" spans="1:9" x14ac:dyDescent="0.25">
      <c r="A124" s="17" t="s">
        <v>324</v>
      </c>
      <c r="B124" s="10">
        <v>43839</v>
      </c>
      <c r="C124" s="1" t="s">
        <v>325</v>
      </c>
      <c r="D124" s="1" t="s">
        <v>72</v>
      </c>
      <c r="E124" s="1" t="s">
        <v>87</v>
      </c>
      <c r="F124" s="1" t="s">
        <v>88</v>
      </c>
      <c r="G124" s="1" t="s">
        <v>20</v>
      </c>
      <c r="H124" s="2">
        <v>5637</v>
      </c>
      <c r="I124" s="19">
        <v>3207</v>
      </c>
    </row>
    <row r="125" spans="1:9" x14ac:dyDescent="0.25">
      <c r="A125" s="18" t="s">
        <v>326</v>
      </c>
      <c r="B125" s="11">
        <v>43505</v>
      </c>
      <c r="C125" s="3" t="s">
        <v>327</v>
      </c>
      <c r="D125" s="3" t="s">
        <v>23</v>
      </c>
      <c r="E125" s="3" t="s">
        <v>119</v>
      </c>
      <c r="F125" s="3" t="s">
        <v>119</v>
      </c>
      <c r="G125" s="3" t="s">
        <v>26</v>
      </c>
      <c r="H125" s="4">
        <v>3259</v>
      </c>
      <c r="I125" s="20">
        <v>1667</v>
      </c>
    </row>
    <row r="126" spans="1:9" x14ac:dyDescent="0.25">
      <c r="A126" s="17" t="s">
        <v>328</v>
      </c>
      <c r="B126" s="10">
        <v>43168</v>
      </c>
      <c r="C126" s="1" t="s">
        <v>329</v>
      </c>
      <c r="D126" s="1" t="s">
        <v>29</v>
      </c>
      <c r="E126" s="1" t="s">
        <v>30</v>
      </c>
      <c r="F126" s="1" t="s">
        <v>30</v>
      </c>
      <c r="G126" s="1" t="s">
        <v>26</v>
      </c>
      <c r="H126" s="2">
        <v>4762</v>
      </c>
      <c r="I126" s="19">
        <v>3469</v>
      </c>
    </row>
    <row r="127" spans="1:9" x14ac:dyDescent="0.25">
      <c r="A127" s="18" t="s">
        <v>330</v>
      </c>
      <c r="B127" s="11">
        <v>43930</v>
      </c>
      <c r="C127" s="3" t="s">
        <v>331</v>
      </c>
      <c r="D127" s="3" t="s">
        <v>43</v>
      </c>
      <c r="E127" s="3" t="s">
        <v>44</v>
      </c>
      <c r="F127" s="3" t="s">
        <v>45</v>
      </c>
      <c r="G127" s="3" t="s">
        <v>14</v>
      </c>
      <c r="H127" s="4">
        <v>2221</v>
      </c>
      <c r="I127" s="20">
        <v>1290</v>
      </c>
    </row>
    <row r="128" spans="1:9" x14ac:dyDescent="0.25">
      <c r="A128" s="17" t="s">
        <v>332</v>
      </c>
      <c r="B128" s="10">
        <v>43229</v>
      </c>
      <c r="C128" s="1" t="s">
        <v>333</v>
      </c>
      <c r="D128" s="1" t="s">
        <v>38</v>
      </c>
      <c r="E128" s="1" t="s">
        <v>179</v>
      </c>
      <c r="F128" s="1" t="s">
        <v>180</v>
      </c>
      <c r="G128" s="1" t="s">
        <v>14</v>
      </c>
      <c r="H128" s="2">
        <v>4170</v>
      </c>
      <c r="I128" s="19">
        <v>2123</v>
      </c>
    </row>
    <row r="129" spans="1:9" x14ac:dyDescent="0.25">
      <c r="A129" s="18" t="s">
        <v>334</v>
      </c>
      <c r="B129" s="11">
        <v>43594</v>
      </c>
      <c r="C129" s="3" t="s">
        <v>335</v>
      </c>
      <c r="D129" s="3" t="s">
        <v>48</v>
      </c>
      <c r="E129" s="3" t="s">
        <v>49</v>
      </c>
      <c r="F129" s="3" t="s">
        <v>50</v>
      </c>
      <c r="G129" s="3" t="s">
        <v>26</v>
      </c>
      <c r="H129" s="4">
        <v>3804</v>
      </c>
      <c r="I129" s="20">
        <v>2276</v>
      </c>
    </row>
    <row r="130" spans="1:9" x14ac:dyDescent="0.25">
      <c r="A130" s="17" t="s">
        <v>336</v>
      </c>
      <c r="B130" s="10">
        <v>43594</v>
      </c>
      <c r="C130" s="1" t="s">
        <v>337</v>
      </c>
      <c r="D130" s="1" t="s">
        <v>29</v>
      </c>
      <c r="E130" s="1" t="s">
        <v>30</v>
      </c>
      <c r="F130" s="1" t="s">
        <v>30</v>
      </c>
      <c r="G130" s="1" t="s">
        <v>26</v>
      </c>
      <c r="H130" s="2">
        <v>4406</v>
      </c>
      <c r="I130" s="19">
        <v>3218</v>
      </c>
    </row>
    <row r="131" spans="1:9" x14ac:dyDescent="0.25">
      <c r="A131" s="18" t="s">
        <v>338</v>
      </c>
      <c r="B131" s="11">
        <v>43960</v>
      </c>
      <c r="C131" s="3" t="s">
        <v>339</v>
      </c>
      <c r="D131" s="3" t="s">
        <v>43</v>
      </c>
      <c r="E131" s="3" t="s">
        <v>44</v>
      </c>
      <c r="F131" s="3" t="s">
        <v>60</v>
      </c>
      <c r="G131" s="3" t="s">
        <v>14</v>
      </c>
      <c r="H131" s="4">
        <v>1859</v>
      </c>
      <c r="I131" s="20">
        <v>1350</v>
      </c>
    </row>
    <row r="132" spans="1:9" x14ac:dyDescent="0.25">
      <c r="A132" s="17" t="s">
        <v>340</v>
      </c>
      <c r="B132" s="10">
        <v>43960</v>
      </c>
      <c r="C132" s="1" t="s">
        <v>341</v>
      </c>
      <c r="D132" s="1" t="s">
        <v>33</v>
      </c>
      <c r="E132" s="1" t="s">
        <v>34</v>
      </c>
      <c r="F132" s="1" t="s">
        <v>35</v>
      </c>
      <c r="G132" s="1" t="s">
        <v>26</v>
      </c>
      <c r="H132" s="2">
        <v>5973</v>
      </c>
      <c r="I132" s="19">
        <v>3360</v>
      </c>
    </row>
    <row r="133" spans="1:9" x14ac:dyDescent="0.25">
      <c r="A133" s="18" t="s">
        <v>342</v>
      </c>
      <c r="B133" s="11">
        <v>43260</v>
      </c>
      <c r="C133" s="3" t="s">
        <v>343</v>
      </c>
      <c r="D133" s="3" t="s">
        <v>29</v>
      </c>
      <c r="E133" s="3" t="s">
        <v>30</v>
      </c>
      <c r="F133" s="3" t="s">
        <v>30</v>
      </c>
      <c r="G133" s="3" t="s">
        <v>26</v>
      </c>
      <c r="H133" s="4">
        <v>2847</v>
      </c>
      <c r="I133" s="20">
        <v>1561</v>
      </c>
    </row>
    <row r="134" spans="1:9" x14ac:dyDescent="0.25">
      <c r="A134" s="17" t="s">
        <v>344</v>
      </c>
      <c r="B134" s="10">
        <v>43260</v>
      </c>
      <c r="C134" s="1" t="s">
        <v>345</v>
      </c>
      <c r="D134" s="1" t="s">
        <v>17</v>
      </c>
      <c r="E134" s="1" t="s">
        <v>57</v>
      </c>
      <c r="F134" s="1" t="s">
        <v>57</v>
      </c>
      <c r="G134" s="1" t="s">
        <v>20</v>
      </c>
      <c r="H134" s="2">
        <v>1576</v>
      </c>
      <c r="I134" s="19">
        <v>713</v>
      </c>
    </row>
    <row r="135" spans="1:9" x14ac:dyDescent="0.25">
      <c r="A135" s="18" t="s">
        <v>346</v>
      </c>
      <c r="B135" s="11">
        <v>43686</v>
      </c>
      <c r="C135" s="3" t="s">
        <v>347</v>
      </c>
      <c r="D135" s="3" t="s">
        <v>48</v>
      </c>
      <c r="E135" s="3" t="s">
        <v>348</v>
      </c>
      <c r="F135" s="3" t="s">
        <v>349</v>
      </c>
      <c r="G135" s="3" t="s">
        <v>26</v>
      </c>
      <c r="H135" s="4">
        <v>2633</v>
      </c>
      <c r="I135" s="20">
        <v>1303</v>
      </c>
    </row>
    <row r="136" spans="1:9" x14ac:dyDescent="0.25">
      <c r="A136" s="17" t="s">
        <v>350</v>
      </c>
      <c r="B136" s="10">
        <v>43382</v>
      </c>
      <c r="C136" s="1" t="s">
        <v>351</v>
      </c>
      <c r="D136" s="1" t="s">
        <v>72</v>
      </c>
      <c r="E136" s="1" t="s">
        <v>79</v>
      </c>
      <c r="F136" s="1" t="s">
        <v>80</v>
      </c>
      <c r="G136" s="1" t="s">
        <v>20</v>
      </c>
      <c r="H136" s="2">
        <v>5921</v>
      </c>
      <c r="I136" s="19">
        <v>4147</v>
      </c>
    </row>
    <row r="137" spans="1:9" x14ac:dyDescent="0.25">
      <c r="A137" s="18" t="s">
        <v>352</v>
      </c>
      <c r="B137" s="11">
        <v>43413</v>
      </c>
      <c r="C137" s="3" t="s">
        <v>353</v>
      </c>
      <c r="D137" s="3" t="s">
        <v>33</v>
      </c>
      <c r="E137" s="3" t="s">
        <v>149</v>
      </c>
      <c r="F137" s="3" t="s">
        <v>155</v>
      </c>
      <c r="G137" s="3" t="s">
        <v>26</v>
      </c>
      <c r="H137" s="4">
        <v>5309</v>
      </c>
      <c r="I137" s="20">
        <v>3503</v>
      </c>
    </row>
    <row r="138" spans="1:9" x14ac:dyDescent="0.25">
      <c r="A138" s="17" t="s">
        <v>354</v>
      </c>
      <c r="B138" s="10">
        <v>43413</v>
      </c>
      <c r="C138" s="1" t="s">
        <v>355</v>
      </c>
      <c r="D138" s="1" t="s">
        <v>72</v>
      </c>
      <c r="E138" s="1" t="s">
        <v>79</v>
      </c>
      <c r="F138" s="1" t="s">
        <v>80</v>
      </c>
      <c r="G138" s="1" t="s">
        <v>20</v>
      </c>
      <c r="H138" s="2">
        <v>3164</v>
      </c>
      <c r="I138" s="19">
        <v>2348</v>
      </c>
    </row>
    <row r="139" spans="1:9" x14ac:dyDescent="0.25">
      <c r="A139" s="18" t="s">
        <v>356</v>
      </c>
      <c r="B139" s="11">
        <v>43778</v>
      </c>
      <c r="C139" s="3" t="s">
        <v>357</v>
      </c>
      <c r="D139" s="3" t="s">
        <v>33</v>
      </c>
      <c r="E139" s="3" t="s">
        <v>34</v>
      </c>
      <c r="F139" s="3" t="s">
        <v>35</v>
      </c>
      <c r="G139" s="3" t="s">
        <v>26</v>
      </c>
      <c r="H139" s="4">
        <v>3559</v>
      </c>
      <c r="I139" s="20">
        <v>1847</v>
      </c>
    </row>
    <row r="140" spans="1:9" x14ac:dyDescent="0.25">
      <c r="A140" s="17" t="s">
        <v>358</v>
      </c>
      <c r="B140" s="10">
        <v>43443</v>
      </c>
      <c r="C140" s="1" t="s">
        <v>311</v>
      </c>
      <c r="D140" s="1" t="s">
        <v>43</v>
      </c>
      <c r="E140" s="1" t="s">
        <v>83</v>
      </c>
      <c r="F140" s="1" t="s">
        <v>160</v>
      </c>
      <c r="G140" s="1" t="s">
        <v>14</v>
      </c>
      <c r="H140" s="2">
        <v>2141</v>
      </c>
      <c r="I140" s="19">
        <v>1598</v>
      </c>
    </row>
    <row r="141" spans="1:9" x14ac:dyDescent="0.25">
      <c r="A141" s="18" t="s">
        <v>359</v>
      </c>
      <c r="B141" s="11">
        <v>43840</v>
      </c>
      <c r="C141" s="3" t="s">
        <v>360</v>
      </c>
      <c r="D141" s="3" t="s">
        <v>29</v>
      </c>
      <c r="E141" s="3" t="s">
        <v>30</v>
      </c>
      <c r="F141" s="3" t="s">
        <v>30</v>
      </c>
      <c r="G141" s="3" t="s">
        <v>26</v>
      </c>
      <c r="H141" s="4">
        <v>1872</v>
      </c>
      <c r="I141" s="20">
        <v>1389</v>
      </c>
    </row>
    <row r="142" spans="1:9" x14ac:dyDescent="0.25">
      <c r="A142" s="17" t="s">
        <v>361</v>
      </c>
      <c r="B142" s="10">
        <v>43141</v>
      </c>
      <c r="C142" s="1" t="s">
        <v>362</v>
      </c>
      <c r="D142" s="1" t="s">
        <v>91</v>
      </c>
      <c r="E142" s="1" t="s">
        <v>101</v>
      </c>
      <c r="F142" s="1" t="s">
        <v>167</v>
      </c>
      <c r="G142" s="1" t="s">
        <v>26</v>
      </c>
      <c r="H142" s="2">
        <v>4615</v>
      </c>
      <c r="I142" s="19">
        <v>2247</v>
      </c>
    </row>
    <row r="143" spans="1:9" x14ac:dyDescent="0.25">
      <c r="A143" s="18" t="s">
        <v>363</v>
      </c>
      <c r="B143" s="11">
        <v>43506</v>
      </c>
      <c r="C143" s="3" t="s">
        <v>364</v>
      </c>
      <c r="D143" s="3" t="s">
        <v>38</v>
      </c>
      <c r="E143" s="3" t="s">
        <v>179</v>
      </c>
      <c r="F143" s="3" t="s">
        <v>228</v>
      </c>
      <c r="G143" s="3" t="s">
        <v>14</v>
      </c>
      <c r="H143" s="4">
        <v>3676</v>
      </c>
      <c r="I143" s="20">
        <v>2565</v>
      </c>
    </row>
    <row r="144" spans="1:9" x14ac:dyDescent="0.25">
      <c r="A144" s="17" t="s">
        <v>365</v>
      </c>
      <c r="B144" s="10">
        <v>43871</v>
      </c>
      <c r="C144" s="1" t="s">
        <v>366</v>
      </c>
      <c r="D144" s="1" t="s">
        <v>72</v>
      </c>
      <c r="E144" s="1" t="s">
        <v>79</v>
      </c>
      <c r="F144" s="1" t="s">
        <v>176</v>
      </c>
      <c r="G144" s="1" t="s">
        <v>20</v>
      </c>
      <c r="H144" s="2">
        <v>5840</v>
      </c>
      <c r="I144" s="19">
        <v>4350</v>
      </c>
    </row>
    <row r="145" spans="1:9" x14ac:dyDescent="0.25">
      <c r="A145" s="18" t="s">
        <v>367</v>
      </c>
      <c r="B145" s="11">
        <v>43169</v>
      </c>
      <c r="C145" s="3" t="s">
        <v>207</v>
      </c>
      <c r="D145" s="3" t="s">
        <v>48</v>
      </c>
      <c r="E145" s="3" t="s">
        <v>348</v>
      </c>
      <c r="F145" s="3" t="s">
        <v>349</v>
      </c>
      <c r="G145" s="3" t="s">
        <v>26</v>
      </c>
      <c r="H145" s="4">
        <v>2107</v>
      </c>
      <c r="I145" s="20">
        <v>1164</v>
      </c>
    </row>
    <row r="146" spans="1:9" x14ac:dyDescent="0.25">
      <c r="A146" s="17" t="s">
        <v>368</v>
      </c>
      <c r="B146" s="10">
        <v>43200</v>
      </c>
      <c r="C146" s="1" t="s">
        <v>369</v>
      </c>
      <c r="D146" s="1" t="s">
        <v>33</v>
      </c>
      <c r="E146" s="1" t="s">
        <v>149</v>
      </c>
      <c r="F146" s="1" t="s">
        <v>155</v>
      </c>
      <c r="G146" s="1" t="s">
        <v>26</v>
      </c>
      <c r="H146" s="2">
        <v>2794</v>
      </c>
      <c r="I146" s="19">
        <v>1627</v>
      </c>
    </row>
    <row r="147" spans="1:9" x14ac:dyDescent="0.25">
      <c r="A147" s="18" t="s">
        <v>370</v>
      </c>
      <c r="B147" s="11">
        <v>43961</v>
      </c>
      <c r="C147" s="3" t="s">
        <v>371</v>
      </c>
      <c r="D147" s="3" t="s">
        <v>23</v>
      </c>
      <c r="E147" s="3" t="s">
        <v>119</v>
      </c>
      <c r="F147" s="3" t="s">
        <v>119</v>
      </c>
      <c r="G147" s="3" t="s">
        <v>26</v>
      </c>
      <c r="H147" s="4">
        <v>2753</v>
      </c>
      <c r="I147" s="20">
        <v>1598</v>
      </c>
    </row>
    <row r="148" spans="1:9" x14ac:dyDescent="0.25">
      <c r="A148" s="17" t="s">
        <v>372</v>
      </c>
      <c r="B148" s="10">
        <v>43992</v>
      </c>
      <c r="C148" s="1" t="s">
        <v>373</v>
      </c>
      <c r="D148" s="1" t="s">
        <v>43</v>
      </c>
      <c r="E148" s="1" t="s">
        <v>44</v>
      </c>
      <c r="F148" s="1" t="s">
        <v>45</v>
      </c>
      <c r="G148" s="1" t="s">
        <v>14</v>
      </c>
      <c r="H148" s="2">
        <v>2048</v>
      </c>
      <c r="I148" s="19">
        <v>975</v>
      </c>
    </row>
    <row r="149" spans="1:9" x14ac:dyDescent="0.25">
      <c r="A149" s="18" t="s">
        <v>374</v>
      </c>
      <c r="B149" s="11">
        <v>43291</v>
      </c>
      <c r="C149" s="3" t="s">
        <v>375</v>
      </c>
      <c r="D149" s="3" t="s">
        <v>48</v>
      </c>
      <c r="E149" s="3" t="s">
        <v>348</v>
      </c>
      <c r="F149" s="3" t="s">
        <v>349</v>
      </c>
      <c r="G149" s="3" t="s">
        <v>26</v>
      </c>
      <c r="H149" s="4">
        <v>3890</v>
      </c>
      <c r="I149" s="20">
        <v>2233</v>
      </c>
    </row>
    <row r="150" spans="1:9" x14ac:dyDescent="0.25">
      <c r="A150" s="17" t="s">
        <v>376</v>
      </c>
      <c r="B150" s="10">
        <v>43291</v>
      </c>
      <c r="C150" s="1" t="s">
        <v>377</v>
      </c>
      <c r="D150" s="1" t="s">
        <v>72</v>
      </c>
      <c r="E150" s="1" t="s">
        <v>87</v>
      </c>
      <c r="F150" s="1" t="s">
        <v>88</v>
      </c>
      <c r="G150" s="1" t="s">
        <v>20</v>
      </c>
      <c r="H150" s="2">
        <v>5498</v>
      </c>
      <c r="I150" s="19">
        <v>3013</v>
      </c>
    </row>
    <row r="151" spans="1:9" x14ac:dyDescent="0.25">
      <c r="A151" s="18" t="s">
        <v>378</v>
      </c>
      <c r="B151" s="11">
        <v>44022</v>
      </c>
      <c r="C151" s="3" t="s">
        <v>379</v>
      </c>
      <c r="D151" s="3" t="s">
        <v>38</v>
      </c>
      <c r="E151" s="3" t="s">
        <v>39</v>
      </c>
      <c r="F151" s="3" t="s">
        <v>40</v>
      </c>
      <c r="G151" s="3" t="s">
        <v>14</v>
      </c>
      <c r="H151" s="4">
        <v>2990</v>
      </c>
      <c r="I151" s="20">
        <v>2034</v>
      </c>
    </row>
    <row r="152" spans="1:9" x14ac:dyDescent="0.25">
      <c r="A152" s="17" t="s">
        <v>380</v>
      </c>
      <c r="B152" s="10">
        <v>44022</v>
      </c>
      <c r="C152" s="1" t="s">
        <v>381</v>
      </c>
      <c r="D152" s="1" t="s">
        <v>38</v>
      </c>
      <c r="E152" s="1" t="s">
        <v>179</v>
      </c>
      <c r="F152" s="1" t="s">
        <v>228</v>
      </c>
      <c r="G152" s="1" t="s">
        <v>14</v>
      </c>
      <c r="H152" s="2">
        <v>3699</v>
      </c>
      <c r="I152" s="19">
        <v>2083</v>
      </c>
    </row>
    <row r="153" spans="1:9" x14ac:dyDescent="0.25">
      <c r="A153" s="18" t="s">
        <v>382</v>
      </c>
      <c r="B153" s="11">
        <v>43414</v>
      </c>
      <c r="C153" s="3" t="s">
        <v>383</v>
      </c>
      <c r="D153" s="3" t="s">
        <v>38</v>
      </c>
      <c r="E153" s="3" t="s">
        <v>179</v>
      </c>
      <c r="F153" s="3" t="s">
        <v>180</v>
      </c>
      <c r="G153" s="3" t="s">
        <v>14</v>
      </c>
      <c r="H153" s="4">
        <v>5502</v>
      </c>
      <c r="I153" s="20">
        <v>2508</v>
      </c>
    </row>
    <row r="154" spans="1:9" x14ac:dyDescent="0.25">
      <c r="A154" s="17" t="s">
        <v>384</v>
      </c>
      <c r="B154" s="10">
        <v>43779</v>
      </c>
      <c r="C154" s="1" t="s">
        <v>311</v>
      </c>
      <c r="D154" s="1" t="s">
        <v>23</v>
      </c>
      <c r="E154" s="1" t="s">
        <v>119</v>
      </c>
      <c r="F154" s="1" t="s">
        <v>119</v>
      </c>
      <c r="G154" s="1" t="s">
        <v>26</v>
      </c>
      <c r="H154" s="2">
        <v>3936</v>
      </c>
      <c r="I154" s="19">
        <v>2051</v>
      </c>
    </row>
    <row r="155" spans="1:9" x14ac:dyDescent="0.25">
      <c r="A155" s="18" t="s">
        <v>385</v>
      </c>
      <c r="B155" s="11">
        <v>43779</v>
      </c>
      <c r="C155" s="3" t="s">
        <v>386</v>
      </c>
      <c r="D155" s="3" t="s">
        <v>29</v>
      </c>
      <c r="E155" s="3" t="s">
        <v>30</v>
      </c>
      <c r="F155" s="3" t="s">
        <v>30</v>
      </c>
      <c r="G155" s="3" t="s">
        <v>26</v>
      </c>
      <c r="H155" s="4">
        <v>4551</v>
      </c>
      <c r="I155" s="20">
        <v>2075</v>
      </c>
    </row>
    <row r="156" spans="1:9" x14ac:dyDescent="0.25">
      <c r="A156" s="17" t="s">
        <v>387</v>
      </c>
      <c r="B156" s="10">
        <v>43444</v>
      </c>
      <c r="C156" s="1" t="s">
        <v>388</v>
      </c>
      <c r="D156" s="1" t="s">
        <v>48</v>
      </c>
      <c r="E156" s="1" t="s">
        <v>348</v>
      </c>
      <c r="F156" s="1" t="s">
        <v>349</v>
      </c>
      <c r="G156" s="1" t="s">
        <v>26</v>
      </c>
      <c r="H156" s="2">
        <v>3672</v>
      </c>
      <c r="I156" s="19">
        <v>1883</v>
      </c>
    </row>
    <row r="157" spans="1:9" x14ac:dyDescent="0.25">
      <c r="A157" s="18" t="s">
        <v>389</v>
      </c>
      <c r="B157" s="11">
        <v>43111</v>
      </c>
      <c r="C157" s="3" t="s">
        <v>390</v>
      </c>
      <c r="D157" s="3" t="s">
        <v>48</v>
      </c>
      <c r="E157" s="3" t="s">
        <v>348</v>
      </c>
      <c r="F157" s="3" t="s">
        <v>349</v>
      </c>
      <c r="G157" s="3" t="s">
        <v>26</v>
      </c>
      <c r="H157" s="4">
        <v>2585</v>
      </c>
      <c r="I157" s="20">
        <v>1230</v>
      </c>
    </row>
    <row r="158" spans="1:9" x14ac:dyDescent="0.25">
      <c r="A158" s="17" t="s">
        <v>391</v>
      </c>
      <c r="B158" s="10">
        <v>43841</v>
      </c>
      <c r="C158" s="1" t="s">
        <v>392</v>
      </c>
      <c r="D158" s="1" t="s">
        <v>91</v>
      </c>
      <c r="E158" s="1" t="s">
        <v>92</v>
      </c>
      <c r="F158" s="1" t="s">
        <v>393</v>
      </c>
      <c r="G158" s="1" t="s">
        <v>26</v>
      </c>
      <c r="H158" s="2">
        <v>3366</v>
      </c>
      <c r="I158" s="19">
        <v>2295</v>
      </c>
    </row>
    <row r="159" spans="1:9" x14ac:dyDescent="0.25">
      <c r="A159" s="18" t="s">
        <v>394</v>
      </c>
      <c r="B159" s="11">
        <v>43535</v>
      </c>
      <c r="C159" s="3" t="s">
        <v>395</v>
      </c>
      <c r="D159" s="3" t="s">
        <v>11</v>
      </c>
      <c r="E159" s="3" t="s">
        <v>12</v>
      </c>
      <c r="F159" s="3" t="s">
        <v>12</v>
      </c>
      <c r="G159" s="3" t="s">
        <v>14</v>
      </c>
      <c r="H159" s="4">
        <v>4232</v>
      </c>
      <c r="I159" s="20">
        <v>2213</v>
      </c>
    </row>
    <row r="160" spans="1:9" x14ac:dyDescent="0.25">
      <c r="A160" s="17" t="s">
        <v>396</v>
      </c>
      <c r="B160" s="10">
        <v>43962</v>
      </c>
      <c r="C160" s="1" t="s">
        <v>397</v>
      </c>
      <c r="D160" s="1" t="s">
        <v>43</v>
      </c>
      <c r="E160" s="1" t="s">
        <v>44</v>
      </c>
      <c r="F160" s="1" t="s">
        <v>60</v>
      </c>
      <c r="G160" s="1" t="s">
        <v>14</v>
      </c>
      <c r="H160" s="2">
        <v>1636</v>
      </c>
      <c r="I160" s="19">
        <v>1024</v>
      </c>
    </row>
    <row r="161" spans="1:9" x14ac:dyDescent="0.25">
      <c r="A161" s="18" t="s">
        <v>398</v>
      </c>
      <c r="B161" s="11">
        <v>44023</v>
      </c>
      <c r="C161" s="3" t="s">
        <v>399</v>
      </c>
      <c r="D161" s="3" t="s">
        <v>48</v>
      </c>
      <c r="E161" s="3" t="s">
        <v>348</v>
      </c>
      <c r="F161" s="3" t="s">
        <v>400</v>
      </c>
      <c r="G161" s="3" t="s">
        <v>26</v>
      </c>
      <c r="H161" s="4">
        <v>3021</v>
      </c>
      <c r="I161" s="20">
        <v>1975</v>
      </c>
    </row>
    <row r="162" spans="1:9" x14ac:dyDescent="0.25">
      <c r="A162" s="17" t="s">
        <v>401</v>
      </c>
      <c r="B162" s="10">
        <v>43354</v>
      </c>
      <c r="C162" s="1" t="s">
        <v>54</v>
      </c>
      <c r="D162" s="1" t="s">
        <v>72</v>
      </c>
      <c r="E162" s="1" t="s">
        <v>73</v>
      </c>
      <c r="F162" s="1" t="s">
        <v>402</v>
      </c>
      <c r="G162" s="1" t="s">
        <v>20</v>
      </c>
      <c r="H162" s="2">
        <v>2387</v>
      </c>
      <c r="I162" s="19">
        <v>1557</v>
      </c>
    </row>
    <row r="163" spans="1:9" x14ac:dyDescent="0.25">
      <c r="A163" s="18" t="s">
        <v>403</v>
      </c>
      <c r="B163" s="11">
        <v>43354</v>
      </c>
      <c r="C163" s="3" t="s">
        <v>404</v>
      </c>
      <c r="D163" s="3" t="s">
        <v>17</v>
      </c>
      <c r="E163" s="3" t="s">
        <v>145</v>
      </c>
      <c r="F163" s="3" t="s">
        <v>146</v>
      </c>
      <c r="G163" s="3" t="s">
        <v>20</v>
      </c>
      <c r="H163" s="4">
        <v>5154</v>
      </c>
      <c r="I163" s="20">
        <v>2593</v>
      </c>
    </row>
    <row r="164" spans="1:9" x14ac:dyDescent="0.25">
      <c r="A164" s="17" t="s">
        <v>405</v>
      </c>
      <c r="B164" s="10">
        <v>43719</v>
      </c>
      <c r="C164" s="1" t="s">
        <v>406</v>
      </c>
      <c r="D164" s="1" t="s">
        <v>11</v>
      </c>
      <c r="E164" s="1" t="s">
        <v>12</v>
      </c>
      <c r="F164" s="1" t="s">
        <v>13</v>
      </c>
      <c r="G164" s="1" t="s">
        <v>14</v>
      </c>
      <c r="H164" s="2">
        <v>4445</v>
      </c>
      <c r="I164" s="19">
        <v>2924</v>
      </c>
    </row>
    <row r="165" spans="1:9" x14ac:dyDescent="0.25">
      <c r="A165" s="18" t="s">
        <v>407</v>
      </c>
      <c r="B165" s="11">
        <v>44085</v>
      </c>
      <c r="C165" s="3" t="s">
        <v>109</v>
      </c>
      <c r="D165" s="3" t="s">
        <v>91</v>
      </c>
      <c r="E165" s="3" t="s">
        <v>115</v>
      </c>
      <c r="F165" s="3" t="s">
        <v>408</v>
      </c>
      <c r="G165" s="3" t="s">
        <v>26</v>
      </c>
      <c r="H165" s="4">
        <v>2521</v>
      </c>
      <c r="I165" s="20">
        <v>1350</v>
      </c>
    </row>
    <row r="166" spans="1:9" x14ac:dyDescent="0.25">
      <c r="A166" s="17" t="s">
        <v>409</v>
      </c>
      <c r="B166" s="10">
        <v>43384</v>
      </c>
      <c r="C166" s="1" t="s">
        <v>410</v>
      </c>
      <c r="D166" s="1" t="s">
        <v>91</v>
      </c>
      <c r="E166" s="1" t="s">
        <v>92</v>
      </c>
      <c r="F166" s="1" t="s">
        <v>411</v>
      </c>
      <c r="G166" s="1" t="s">
        <v>26</v>
      </c>
      <c r="H166" s="2">
        <v>2752</v>
      </c>
      <c r="I166" s="19">
        <v>1756</v>
      </c>
    </row>
    <row r="167" spans="1:9" x14ac:dyDescent="0.25">
      <c r="A167" s="18" t="s">
        <v>412</v>
      </c>
      <c r="B167" s="11">
        <v>43780</v>
      </c>
      <c r="C167" s="3" t="s">
        <v>413</v>
      </c>
      <c r="D167" s="3" t="s">
        <v>91</v>
      </c>
      <c r="E167" s="3" t="s">
        <v>115</v>
      </c>
      <c r="F167" s="3" t="s">
        <v>233</v>
      </c>
      <c r="G167" s="3" t="s">
        <v>26</v>
      </c>
      <c r="H167" s="4">
        <v>1625</v>
      </c>
      <c r="I167" s="20">
        <v>1083</v>
      </c>
    </row>
    <row r="168" spans="1:9" x14ac:dyDescent="0.25">
      <c r="A168" s="17" t="s">
        <v>414</v>
      </c>
      <c r="B168" s="10">
        <v>43780</v>
      </c>
      <c r="C168" s="1" t="s">
        <v>415</v>
      </c>
      <c r="D168" s="1" t="s">
        <v>33</v>
      </c>
      <c r="E168" s="1" t="s">
        <v>149</v>
      </c>
      <c r="F168" s="1" t="s">
        <v>155</v>
      </c>
      <c r="G168" s="1" t="s">
        <v>26</v>
      </c>
      <c r="H168" s="2">
        <v>5048</v>
      </c>
      <c r="I168" s="19">
        <v>3515</v>
      </c>
    </row>
    <row r="169" spans="1:9" x14ac:dyDescent="0.25">
      <c r="A169" s="18" t="s">
        <v>416</v>
      </c>
      <c r="B169" s="11">
        <v>43143</v>
      </c>
      <c r="C169" s="3" t="s">
        <v>417</v>
      </c>
      <c r="D169" s="3" t="s">
        <v>72</v>
      </c>
      <c r="E169" s="3" t="s">
        <v>79</v>
      </c>
      <c r="F169" s="3" t="s">
        <v>176</v>
      </c>
      <c r="G169" s="3" t="s">
        <v>20</v>
      </c>
      <c r="H169" s="4">
        <v>5354</v>
      </c>
      <c r="I169" s="20">
        <v>3242</v>
      </c>
    </row>
    <row r="170" spans="1:9" x14ac:dyDescent="0.25">
      <c r="A170" s="17" t="s">
        <v>418</v>
      </c>
      <c r="B170" s="10">
        <v>43508</v>
      </c>
      <c r="C170" s="1" t="s">
        <v>419</v>
      </c>
      <c r="D170" s="1" t="s">
        <v>91</v>
      </c>
      <c r="E170" s="1" t="s">
        <v>92</v>
      </c>
      <c r="F170" s="1" t="s">
        <v>93</v>
      </c>
      <c r="G170" s="1" t="s">
        <v>26</v>
      </c>
      <c r="H170" s="2">
        <v>4440</v>
      </c>
      <c r="I170" s="19">
        <v>2763</v>
      </c>
    </row>
    <row r="171" spans="1:9" x14ac:dyDescent="0.25">
      <c r="A171" s="18" t="s">
        <v>420</v>
      </c>
      <c r="B171" s="11">
        <v>43536</v>
      </c>
      <c r="C171" s="3" t="s">
        <v>421</v>
      </c>
      <c r="D171" s="3" t="s">
        <v>33</v>
      </c>
      <c r="E171" s="3" t="s">
        <v>149</v>
      </c>
      <c r="F171" s="3" t="s">
        <v>155</v>
      </c>
      <c r="G171" s="3" t="s">
        <v>26</v>
      </c>
      <c r="H171" s="4">
        <v>4368</v>
      </c>
      <c r="I171" s="20">
        <v>3073</v>
      </c>
    </row>
    <row r="172" spans="1:9" x14ac:dyDescent="0.25">
      <c r="A172" s="17" t="s">
        <v>422</v>
      </c>
      <c r="B172" s="10">
        <v>43902</v>
      </c>
      <c r="C172" s="1" t="s">
        <v>423</v>
      </c>
      <c r="D172" s="1" t="s">
        <v>29</v>
      </c>
      <c r="E172" s="1" t="s">
        <v>30</v>
      </c>
      <c r="F172" s="1" t="s">
        <v>30</v>
      </c>
      <c r="G172" s="1" t="s">
        <v>26</v>
      </c>
      <c r="H172" s="2">
        <v>3309</v>
      </c>
      <c r="I172" s="19">
        <v>2124</v>
      </c>
    </row>
    <row r="173" spans="1:9" x14ac:dyDescent="0.25">
      <c r="A173" s="18" t="s">
        <v>424</v>
      </c>
      <c r="B173" s="11">
        <v>43202</v>
      </c>
      <c r="C173" s="3" t="s">
        <v>425</v>
      </c>
      <c r="D173" s="3" t="s">
        <v>72</v>
      </c>
      <c r="E173" s="3" t="s">
        <v>73</v>
      </c>
      <c r="F173" s="3" t="s">
        <v>402</v>
      </c>
      <c r="G173" s="3" t="s">
        <v>20</v>
      </c>
      <c r="H173" s="4">
        <v>5478</v>
      </c>
      <c r="I173" s="20">
        <v>3462</v>
      </c>
    </row>
    <row r="174" spans="1:9" x14ac:dyDescent="0.25">
      <c r="A174" s="17" t="s">
        <v>426</v>
      </c>
      <c r="B174" s="10">
        <v>43202</v>
      </c>
      <c r="C174" s="1" t="s">
        <v>427</v>
      </c>
      <c r="D174" s="1" t="s">
        <v>38</v>
      </c>
      <c r="E174" s="1" t="s">
        <v>39</v>
      </c>
      <c r="F174" s="1" t="s">
        <v>40</v>
      </c>
      <c r="G174" s="1" t="s">
        <v>14</v>
      </c>
      <c r="H174" s="2">
        <v>1946</v>
      </c>
      <c r="I174" s="19">
        <v>1086</v>
      </c>
    </row>
    <row r="175" spans="1:9" x14ac:dyDescent="0.25">
      <c r="A175" s="18" t="s">
        <v>428</v>
      </c>
      <c r="B175" s="11">
        <v>43567</v>
      </c>
      <c r="C175" s="3" t="s">
        <v>429</v>
      </c>
      <c r="D175" s="3" t="s">
        <v>17</v>
      </c>
      <c r="E175" s="3" t="s">
        <v>145</v>
      </c>
      <c r="F175" s="3" t="s">
        <v>146</v>
      </c>
      <c r="G175" s="3" t="s">
        <v>20</v>
      </c>
      <c r="H175" s="4">
        <v>3782</v>
      </c>
      <c r="I175" s="20">
        <v>2682</v>
      </c>
    </row>
    <row r="176" spans="1:9" x14ac:dyDescent="0.25">
      <c r="A176" s="17" t="s">
        <v>430</v>
      </c>
      <c r="B176" s="10">
        <v>43933</v>
      </c>
      <c r="C176" s="1" t="s">
        <v>431</v>
      </c>
      <c r="D176" s="1" t="s">
        <v>17</v>
      </c>
      <c r="E176" s="1" t="s">
        <v>18</v>
      </c>
      <c r="F176" s="1" t="s">
        <v>19</v>
      </c>
      <c r="G176" s="1" t="s">
        <v>20</v>
      </c>
      <c r="H176" s="2">
        <v>4877</v>
      </c>
      <c r="I176" s="19">
        <v>2230</v>
      </c>
    </row>
    <row r="177" spans="1:9" x14ac:dyDescent="0.25">
      <c r="A177" s="18" t="s">
        <v>432</v>
      </c>
      <c r="B177" s="11">
        <v>43963</v>
      </c>
      <c r="C177" s="3" t="s">
        <v>433</v>
      </c>
      <c r="D177" s="3" t="s">
        <v>91</v>
      </c>
      <c r="E177" s="3" t="s">
        <v>101</v>
      </c>
      <c r="F177" s="3" t="s">
        <v>167</v>
      </c>
      <c r="G177" s="3" t="s">
        <v>26</v>
      </c>
      <c r="H177" s="4">
        <v>4465</v>
      </c>
      <c r="I177" s="20">
        <v>2696</v>
      </c>
    </row>
    <row r="178" spans="1:9" x14ac:dyDescent="0.25">
      <c r="A178" s="17" t="s">
        <v>434</v>
      </c>
      <c r="B178" s="10">
        <v>43963</v>
      </c>
      <c r="C178" s="1" t="s">
        <v>435</v>
      </c>
      <c r="D178" s="1" t="s">
        <v>91</v>
      </c>
      <c r="E178" s="1" t="s">
        <v>101</v>
      </c>
      <c r="F178" s="1" t="s">
        <v>167</v>
      </c>
      <c r="G178" s="1" t="s">
        <v>26</v>
      </c>
      <c r="H178" s="2">
        <v>3520</v>
      </c>
      <c r="I178" s="19">
        <v>2345</v>
      </c>
    </row>
    <row r="179" spans="1:9" x14ac:dyDescent="0.25">
      <c r="A179" s="18" t="s">
        <v>436</v>
      </c>
      <c r="B179" s="11">
        <v>43994</v>
      </c>
      <c r="C179" s="3" t="s">
        <v>437</v>
      </c>
      <c r="D179" s="3" t="s">
        <v>38</v>
      </c>
      <c r="E179" s="3" t="s">
        <v>179</v>
      </c>
      <c r="F179" s="3" t="s">
        <v>180</v>
      </c>
      <c r="G179" s="3" t="s">
        <v>14</v>
      </c>
      <c r="H179" s="4">
        <v>5033</v>
      </c>
      <c r="I179" s="20">
        <v>2370</v>
      </c>
    </row>
    <row r="180" spans="1:9" x14ac:dyDescent="0.25">
      <c r="A180" s="17" t="s">
        <v>438</v>
      </c>
      <c r="B180" s="10">
        <v>44024</v>
      </c>
      <c r="C180" s="1" t="s">
        <v>439</v>
      </c>
      <c r="D180" s="1" t="s">
        <v>48</v>
      </c>
      <c r="E180" s="1" t="s">
        <v>49</v>
      </c>
      <c r="F180" s="1" t="s">
        <v>105</v>
      </c>
      <c r="G180" s="1" t="s">
        <v>26</v>
      </c>
      <c r="H180" s="2">
        <v>2618</v>
      </c>
      <c r="I180" s="19">
        <v>1331</v>
      </c>
    </row>
    <row r="181" spans="1:9" x14ac:dyDescent="0.25">
      <c r="A181" s="18" t="s">
        <v>440</v>
      </c>
      <c r="B181" s="11">
        <v>43324</v>
      </c>
      <c r="C181" s="3" t="s">
        <v>441</v>
      </c>
      <c r="D181" s="3" t="s">
        <v>17</v>
      </c>
      <c r="E181" s="3" t="s">
        <v>57</v>
      </c>
      <c r="F181" s="3" t="s">
        <v>57</v>
      </c>
      <c r="G181" s="3" t="s">
        <v>20</v>
      </c>
      <c r="H181" s="4">
        <v>2648</v>
      </c>
      <c r="I181" s="20">
        <v>1526</v>
      </c>
    </row>
    <row r="182" spans="1:9" x14ac:dyDescent="0.25">
      <c r="A182" s="17" t="s">
        <v>442</v>
      </c>
      <c r="B182" s="10">
        <v>43324</v>
      </c>
      <c r="C182" s="1" t="s">
        <v>443</v>
      </c>
      <c r="D182" s="1" t="s">
        <v>17</v>
      </c>
      <c r="E182" s="1" t="s">
        <v>57</v>
      </c>
      <c r="F182" s="1" t="s">
        <v>57</v>
      </c>
      <c r="G182" s="1" t="s">
        <v>20</v>
      </c>
      <c r="H182" s="2">
        <v>5771</v>
      </c>
      <c r="I182" s="19">
        <v>3119</v>
      </c>
    </row>
    <row r="183" spans="1:9" x14ac:dyDescent="0.25">
      <c r="A183" s="18" t="s">
        <v>444</v>
      </c>
      <c r="B183" s="11">
        <v>44055</v>
      </c>
      <c r="C183" s="3" t="s">
        <v>445</v>
      </c>
      <c r="D183" s="3" t="s">
        <v>17</v>
      </c>
      <c r="E183" s="3" t="s">
        <v>145</v>
      </c>
      <c r="F183" s="3" t="s">
        <v>146</v>
      </c>
      <c r="G183" s="3" t="s">
        <v>20</v>
      </c>
      <c r="H183" s="4">
        <v>1660</v>
      </c>
      <c r="I183" s="20">
        <v>1173</v>
      </c>
    </row>
    <row r="184" spans="1:9" x14ac:dyDescent="0.25">
      <c r="A184" s="17" t="s">
        <v>446</v>
      </c>
      <c r="B184" s="10">
        <v>44116</v>
      </c>
      <c r="C184" s="1" t="s">
        <v>447</v>
      </c>
      <c r="D184" s="1" t="s">
        <v>17</v>
      </c>
      <c r="E184" s="1" t="s">
        <v>145</v>
      </c>
      <c r="F184" s="1" t="s">
        <v>203</v>
      </c>
      <c r="G184" s="1" t="s">
        <v>20</v>
      </c>
      <c r="H184" s="2">
        <v>2609</v>
      </c>
      <c r="I184" s="19">
        <v>1412</v>
      </c>
    </row>
    <row r="185" spans="1:9" x14ac:dyDescent="0.25">
      <c r="A185" s="18" t="s">
        <v>448</v>
      </c>
      <c r="B185" s="11">
        <v>43416</v>
      </c>
      <c r="C185" s="3" t="s">
        <v>449</v>
      </c>
      <c r="D185" s="3" t="s">
        <v>11</v>
      </c>
      <c r="E185" s="3" t="s">
        <v>128</v>
      </c>
      <c r="F185" s="3" t="s">
        <v>129</v>
      </c>
      <c r="G185" s="3" t="s">
        <v>14</v>
      </c>
      <c r="H185" s="4">
        <v>1732</v>
      </c>
      <c r="I185" s="20">
        <v>821</v>
      </c>
    </row>
    <row r="186" spans="1:9" x14ac:dyDescent="0.25">
      <c r="A186" s="17" t="s">
        <v>450</v>
      </c>
      <c r="B186" s="10">
        <v>43781</v>
      </c>
      <c r="C186" s="1" t="s">
        <v>451</v>
      </c>
      <c r="D186" s="1" t="s">
        <v>17</v>
      </c>
      <c r="E186" s="1" t="s">
        <v>145</v>
      </c>
      <c r="F186" s="1" t="s">
        <v>203</v>
      </c>
      <c r="G186" s="1" t="s">
        <v>20</v>
      </c>
      <c r="H186" s="2">
        <v>2385</v>
      </c>
      <c r="I186" s="19">
        <v>1346</v>
      </c>
    </row>
    <row r="187" spans="1:9" x14ac:dyDescent="0.25">
      <c r="A187" s="18" t="s">
        <v>452</v>
      </c>
      <c r="B187" s="11">
        <v>44147</v>
      </c>
      <c r="C187" s="3" t="s">
        <v>453</v>
      </c>
      <c r="D187" s="3" t="s">
        <v>11</v>
      </c>
      <c r="E187" s="3" t="s">
        <v>12</v>
      </c>
      <c r="F187" s="3" t="s">
        <v>13</v>
      </c>
      <c r="G187" s="3" t="s">
        <v>14</v>
      </c>
      <c r="H187" s="4">
        <v>4965</v>
      </c>
      <c r="I187" s="20">
        <v>2510</v>
      </c>
    </row>
    <row r="188" spans="1:9" x14ac:dyDescent="0.25">
      <c r="A188" s="17" t="s">
        <v>454</v>
      </c>
      <c r="B188" s="10">
        <v>43843</v>
      </c>
      <c r="C188" s="1" t="s">
        <v>455</v>
      </c>
      <c r="D188" s="1" t="s">
        <v>17</v>
      </c>
      <c r="E188" s="1" t="s">
        <v>145</v>
      </c>
      <c r="F188" s="1" t="s">
        <v>146</v>
      </c>
      <c r="G188" s="1" t="s">
        <v>20</v>
      </c>
      <c r="H188" s="2">
        <v>3072</v>
      </c>
      <c r="I188" s="19">
        <v>1591</v>
      </c>
    </row>
    <row r="189" spans="1:9" x14ac:dyDescent="0.25">
      <c r="A189" s="18" t="s">
        <v>456</v>
      </c>
      <c r="B189" s="11">
        <v>43144</v>
      </c>
      <c r="C189" s="3" t="s">
        <v>457</v>
      </c>
      <c r="D189" s="3" t="s">
        <v>17</v>
      </c>
      <c r="E189" s="3" t="s">
        <v>57</v>
      </c>
      <c r="F189" s="3" t="s">
        <v>57</v>
      </c>
      <c r="G189" s="3" t="s">
        <v>20</v>
      </c>
      <c r="H189" s="4">
        <v>1558</v>
      </c>
      <c r="I189" s="20">
        <v>734</v>
      </c>
    </row>
    <row r="190" spans="1:9" x14ac:dyDescent="0.25">
      <c r="A190" s="17" t="s">
        <v>458</v>
      </c>
      <c r="B190" s="10">
        <v>43172</v>
      </c>
      <c r="C190" s="1" t="s">
        <v>459</v>
      </c>
      <c r="D190" s="1" t="s">
        <v>38</v>
      </c>
      <c r="E190" s="1" t="s">
        <v>179</v>
      </c>
      <c r="F190" s="1" t="s">
        <v>228</v>
      </c>
      <c r="G190" s="1" t="s">
        <v>14</v>
      </c>
      <c r="H190" s="2">
        <v>5178</v>
      </c>
      <c r="I190" s="19">
        <v>2598</v>
      </c>
    </row>
    <row r="191" spans="1:9" x14ac:dyDescent="0.25">
      <c r="A191" s="18" t="s">
        <v>460</v>
      </c>
      <c r="B191" s="11">
        <v>43537</v>
      </c>
      <c r="C191" s="3" t="s">
        <v>461</v>
      </c>
      <c r="D191" s="3" t="s">
        <v>23</v>
      </c>
      <c r="E191" s="3" t="s">
        <v>119</v>
      </c>
      <c r="F191" s="3" t="s">
        <v>119</v>
      </c>
      <c r="G191" s="3" t="s">
        <v>26</v>
      </c>
      <c r="H191" s="4">
        <v>2210</v>
      </c>
      <c r="I191" s="20">
        <v>1588</v>
      </c>
    </row>
    <row r="192" spans="1:9" x14ac:dyDescent="0.25">
      <c r="A192" s="17" t="s">
        <v>462</v>
      </c>
      <c r="B192" s="10">
        <v>43934</v>
      </c>
      <c r="C192" s="1" t="s">
        <v>463</v>
      </c>
      <c r="D192" s="1" t="s">
        <v>38</v>
      </c>
      <c r="E192" s="1" t="s">
        <v>39</v>
      </c>
      <c r="F192" s="1" t="s">
        <v>40</v>
      </c>
      <c r="G192" s="1" t="s">
        <v>14</v>
      </c>
      <c r="H192" s="2">
        <v>5721</v>
      </c>
      <c r="I192" s="19">
        <v>3932</v>
      </c>
    </row>
    <row r="193" spans="1:9" x14ac:dyDescent="0.25">
      <c r="A193" s="18" t="s">
        <v>464</v>
      </c>
      <c r="B193" s="11">
        <v>43233</v>
      </c>
      <c r="C193" s="3" t="s">
        <v>465</v>
      </c>
      <c r="D193" s="3" t="s">
        <v>72</v>
      </c>
      <c r="E193" s="3" t="s">
        <v>87</v>
      </c>
      <c r="F193" s="3" t="s">
        <v>88</v>
      </c>
      <c r="G193" s="3" t="s">
        <v>20</v>
      </c>
      <c r="H193" s="4">
        <v>2926</v>
      </c>
      <c r="I193" s="20">
        <v>2013</v>
      </c>
    </row>
    <row r="194" spans="1:9" x14ac:dyDescent="0.25">
      <c r="A194" s="17" t="s">
        <v>466</v>
      </c>
      <c r="B194" s="10">
        <v>43598</v>
      </c>
      <c r="C194" s="1" t="s">
        <v>467</v>
      </c>
      <c r="D194" s="1" t="s">
        <v>72</v>
      </c>
      <c r="E194" s="1" t="s">
        <v>79</v>
      </c>
      <c r="F194" s="1" t="s">
        <v>80</v>
      </c>
      <c r="G194" s="1" t="s">
        <v>20</v>
      </c>
      <c r="H194" s="2">
        <v>1836</v>
      </c>
      <c r="I194" s="19">
        <v>1017</v>
      </c>
    </row>
    <row r="195" spans="1:9" x14ac:dyDescent="0.25">
      <c r="A195" s="18" t="s">
        <v>468</v>
      </c>
      <c r="B195" s="11">
        <v>43964</v>
      </c>
      <c r="C195" s="3" t="s">
        <v>323</v>
      </c>
      <c r="D195" s="3" t="s">
        <v>33</v>
      </c>
      <c r="E195" s="3" t="s">
        <v>149</v>
      </c>
      <c r="F195" s="3" t="s">
        <v>155</v>
      </c>
      <c r="G195" s="3" t="s">
        <v>26</v>
      </c>
      <c r="H195" s="4">
        <v>4366</v>
      </c>
      <c r="I195" s="20">
        <v>2258</v>
      </c>
    </row>
    <row r="196" spans="1:9" x14ac:dyDescent="0.25">
      <c r="A196" s="17" t="s">
        <v>469</v>
      </c>
      <c r="B196" s="10">
        <v>43264</v>
      </c>
      <c r="C196" s="1" t="s">
        <v>470</v>
      </c>
      <c r="D196" s="1" t="s">
        <v>23</v>
      </c>
      <c r="E196" s="1" t="s">
        <v>119</v>
      </c>
      <c r="F196" s="1" t="s">
        <v>119</v>
      </c>
      <c r="G196" s="1" t="s">
        <v>26</v>
      </c>
      <c r="H196" s="2">
        <v>4488</v>
      </c>
      <c r="I196" s="19">
        <v>2238</v>
      </c>
    </row>
    <row r="197" spans="1:9" x14ac:dyDescent="0.25">
      <c r="A197" s="18" t="s">
        <v>471</v>
      </c>
      <c r="B197" s="11">
        <v>43995</v>
      </c>
      <c r="C197" s="3" t="s">
        <v>472</v>
      </c>
      <c r="D197" s="3" t="s">
        <v>23</v>
      </c>
      <c r="E197" s="3" t="s">
        <v>119</v>
      </c>
      <c r="F197" s="3" t="s">
        <v>119</v>
      </c>
      <c r="G197" s="3" t="s">
        <v>26</v>
      </c>
      <c r="H197" s="4">
        <v>5564</v>
      </c>
      <c r="I197" s="20">
        <v>3659</v>
      </c>
    </row>
    <row r="198" spans="1:9" x14ac:dyDescent="0.25">
      <c r="A198" s="17" t="s">
        <v>473</v>
      </c>
      <c r="B198" s="10">
        <v>43721</v>
      </c>
      <c r="C198" s="1" t="s">
        <v>209</v>
      </c>
      <c r="D198" s="1" t="s">
        <v>33</v>
      </c>
      <c r="E198" s="1" t="s">
        <v>149</v>
      </c>
      <c r="F198" s="1" t="s">
        <v>155</v>
      </c>
      <c r="G198" s="1" t="s">
        <v>26</v>
      </c>
      <c r="H198" s="2">
        <v>2600</v>
      </c>
      <c r="I198" s="19">
        <v>1404</v>
      </c>
    </row>
    <row r="199" spans="1:9" x14ac:dyDescent="0.25">
      <c r="A199" s="18" t="s">
        <v>474</v>
      </c>
      <c r="B199" s="11">
        <v>43386</v>
      </c>
      <c r="C199" s="3" t="s">
        <v>475</v>
      </c>
      <c r="D199" s="3" t="s">
        <v>17</v>
      </c>
      <c r="E199" s="3" t="s">
        <v>145</v>
      </c>
      <c r="F199" s="3" t="s">
        <v>203</v>
      </c>
      <c r="G199" s="3" t="s">
        <v>20</v>
      </c>
      <c r="H199" s="4">
        <v>4966</v>
      </c>
      <c r="I199" s="20">
        <v>3410</v>
      </c>
    </row>
    <row r="200" spans="1:9" x14ac:dyDescent="0.25">
      <c r="A200" s="17" t="s">
        <v>476</v>
      </c>
      <c r="B200" s="10">
        <v>43782</v>
      </c>
      <c r="C200" s="1" t="s">
        <v>477</v>
      </c>
      <c r="D200" s="1" t="s">
        <v>17</v>
      </c>
      <c r="E200" s="1" t="s">
        <v>18</v>
      </c>
      <c r="F200" s="1" t="s">
        <v>278</v>
      </c>
      <c r="G200" s="1" t="s">
        <v>20</v>
      </c>
      <c r="H200" s="2">
        <v>2461</v>
      </c>
      <c r="I200" s="19">
        <v>1658</v>
      </c>
    </row>
    <row r="201" spans="1:9" x14ac:dyDescent="0.25">
      <c r="A201" s="18" t="s">
        <v>478</v>
      </c>
      <c r="B201" s="11">
        <v>43114</v>
      </c>
      <c r="C201" s="3" t="s">
        <v>196</v>
      </c>
      <c r="D201" s="3" t="s">
        <v>23</v>
      </c>
      <c r="E201" s="3" t="s">
        <v>119</v>
      </c>
      <c r="F201" s="3" t="s">
        <v>119</v>
      </c>
      <c r="G201" s="3" t="s">
        <v>26</v>
      </c>
      <c r="H201" s="4">
        <v>2773</v>
      </c>
      <c r="I201" s="20">
        <v>1426</v>
      </c>
    </row>
    <row r="202" spans="1:9" x14ac:dyDescent="0.25">
      <c r="A202" s="17" t="s">
        <v>479</v>
      </c>
      <c r="B202" s="10">
        <v>43844</v>
      </c>
      <c r="C202" s="1" t="s">
        <v>480</v>
      </c>
      <c r="D202" s="1" t="s">
        <v>29</v>
      </c>
      <c r="E202" s="1" t="s">
        <v>30</v>
      </c>
      <c r="F202" s="1" t="s">
        <v>30</v>
      </c>
      <c r="G202" s="1" t="s">
        <v>26</v>
      </c>
      <c r="H202" s="2">
        <v>2201</v>
      </c>
      <c r="I202" s="19">
        <v>1473</v>
      </c>
    </row>
    <row r="203" spans="1:9" x14ac:dyDescent="0.25">
      <c r="A203" s="18" t="s">
        <v>481</v>
      </c>
      <c r="B203" s="11">
        <v>43538</v>
      </c>
      <c r="C203" s="3" t="s">
        <v>482</v>
      </c>
      <c r="D203" s="3" t="s">
        <v>43</v>
      </c>
      <c r="E203" s="3" t="s">
        <v>83</v>
      </c>
      <c r="F203" s="3" t="s">
        <v>160</v>
      </c>
      <c r="G203" s="3" t="s">
        <v>14</v>
      </c>
      <c r="H203" s="4">
        <v>5722</v>
      </c>
      <c r="I203" s="20">
        <v>3714</v>
      </c>
    </row>
    <row r="204" spans="1:9" x14ac:dyDescent="0.25">
      <c r="A204" s="17" t="s">
        <v>483</v>
      </c>
      <c r="B204" s="10">
        <v>43965</v>
      </c>
      <c r="C204" s="1" t="s">
        <v>484</v>
      </c>
      <c r="D204" s="1" t="s">
        <v>23</v>
      </c>
      <c r="E204" s="1" t="s">
        <v>119</v>
      </c>
      <c r="F204" s="1" t="s">
        <v>119</v>
      </c>
      <c r="G204" s="1" t="s">
        <v>26</v>
      </c>
      <c r="H204" s="2">
        <v>5834</v>
      </c>
      <c r="I204" s="19">
        <v>3065</v>
      </c>
    </row>
    <row r="205" spans="1:9" x14ac:dyDescent="0.25">
      <c r="A205" s="18" t="s">
        <v>485</v>
      </c>
      <c r="B205" s="11">
        <v>43630</v>
      </c>
      <c r="C205" s="3" t="s">
        <v>486</v>
      </c>
      <c r="D205" s="3" t="s">
        <v>11</v>
      </c>
      <c r="E205" s="3" t="s">
        <v>128</v>
      </c>
      <c r="F205" s="3" t="s">
        <v>129</v>
      </c>
      <c r="G205" s="3" t="s">
        <v>14</v>
      </c>
      <c r="H205" s="4">
        <v>5732</v>
      </c>
      <c r="I205" s="20">
        <v>4209</v>
      </c>
    </row>
    <row r="206" spans="1:9" x14ac:dyDescent="0.25">
      <c r="A206" s="17" t="s">
        <v>487</v>
      </c>
      <c r="B206" s="10">
        <v>43630</v>
      </c>
      <c r="C206" s="1" t="s">
        <v>488</v>
      </c>
      <c r="D206" s="1" t="s">
        <v>43</v>
      </c>
      <c r="E206" s="1" t="s">
        <v>44</v>
      </c>
      <c r="F206" s="1" t="s">
        <v>60</v>
      </c>
      <c r="G206" s="1" t="s">
        <v>14</v>
      </c>
      <c r="H206" s="2">
        <v>3320</v>
      </c>
      <c r="I206" s="19">
        <v>1847</v>
      </c>
    </row>
    <row r="207" spans="1:9" x14ac:dyDescent="0.25">
      <c r="A207" s="18" t="s">
        <v>489</v>
      </c>
      <c r="B207" s="11">
        <v>43996</v>
      </c>
      <c r="C207" s="3" t="s">
        <v>28</v>
      </c>
      <c r="D207" s="3" t="s">
        <v>48</v>
      </c>
      <c r="E207" s="3" t="s">
        <v>348</v>
      </c>
      <c r="F207" s="3" t="s">
        <v>400</v>
      </c>
      <c r="G207" s="3" t="s">
        <v>26</v>
      </c>
      <c r="H207" s="4">
        <v>1742</v>
      </c>
      <c r="I207" s="20">
        <v>1115</v>
      </c>
    </row>
    <row r="208" spans="1:9" x14ac:dyDescent="0.25">
      <c r="A208" s="17" t="s">
        <v>490</v>
      </c>
      <c r="B208" s="10">
        <v>43691</v>
      </c>
      <c r="C208" s="1" t="s">
        <v>491</v>
      </c>
      <c r="D208" s="1" t="s">
        <v>33</v>
      </c>
      <c r="E208" s="1" t="s">
        <v>149</v>
      </c>
      <c r="F208" s="1" t="s">
        <v>155</v>
      </c>
      <c r="G208" s="1" t="s">
        <v>26</v>
      </c>
      <c r="H208" s="2">
        <v>3667</v>
      </c>
      <c r="I208" s="19">
        <v>2516</v>
      </c>
    </row>
    <row r="209" spans="1:9" x14ac:dyDescent="0.25">
      <c r="A209" s="18" t="s">
        <v>492</v>
      </c>
      <c r="B209" s="11">
        <v>43691</v>
      </c>
      <c r="C209" s="3" t="s">
        <v>493</v>
      </c>
      <c r="D209" s="3" t="s">
        <v>38</v>
      </c>
      <c r="E209" s="3" t="s">
        <v>179</v>
      </c>
      <c r="F209" s="3" t="s">
        <v>180</v>
      </c>
      <c r="G209" s="3" t="s">
        <v>14</v>
      </c>
      <c r="H209" s="4">
        <v>2221</v>
      </c>
      <c r="I209" s="20">
        <v>1209</v>
      </c>
    </row>
    <row r="210" spans="1:9" x14ac:dyDescent="0.25">
      <c r="A210" s="17" t="s">
        <v>494</v>
      </c>
      <c r="B210" s="10">
        <v>44057</v>
      </c>
      <c r="C210" s="1" t="s">
        <v>495</v>
      </c>
      <c r="D210" s="1" t="s">
        <v>33</v>
      </c>
      <c r="E210" s="1" t="s">
        <v>149</v>
      </c>
      <c r="F210" s="1" t="s">
        <v>155</v>
      </c>
      <c r="G210" s="1" t="s">
        <v>26</v>
      </c>
      <c r="H210" s="2">
        <v>4721</v>
      </c>
      <c r="I210" s="19">
        <v>2840</v>
      </c>
    </row>
    <row r="211" spans="1:9" x14ac:dyDescent="0.25">
      <c r="A211" s="18" t="s">
        <v>496</v>
      </c>
      <c r="B211" s="11">
        <v>43387</v>
      </c>
      <c r="C211" s="3" t="s">
        <v>497</v>
      </c>
      <c r="D211" s="3" t="s">
        <v>91</v>
      </c>
      <c r="E211" s="3" t="s">
        <v>115</v>
      </c>
      <c r="F211" s="3" t="s">
        <v>408</v>
      </c>
      <c r="G211" s="3" t="s">
        <v>26</v>
      </c>
      <c r="H211" s="4">
        <v>4333</v>
      </c>
      <c r="I211" s="20">
        <v>2019</v>
      </c>
    </row>
    <row r="212" spans="1:9" x14ac:dyDescent="0.25">
      <c r="A212" s="17" t="s">
        <v>498</v>
      </c>
      <c r="B212" s="10">
        <v>43387</v>
      </c>
      <c r="C212" s="1" t="s">
        <v>499</v>
      </c>
      <c r="D212" s="1" t="s">
        <v>11</v>
      </c>
      <c r="E212" s="1" t="s">
        <v>128</v>
      </c>
      <c r="F212" s="1" t="s">
        <v>187</v>
      </c>
      <c r="G212" s="1" t="s">
        <v>14</v>
      </c>
      <c r="H212" s="2">
        <v>5017</v>
      </c>
      <c r="I212" s="19">
        <v>2731</v>
      </c>
    </row>
    <row r="213" spans="1:9" x14ac:dyDescent="0.25">
      <c r="A213" s="18" t="s">
        <v>500</v>
      </c>
      <c r="B213" s="11">
        <v>43387</v>
      </c>
      <c r="C213" s="3" t="s">
        <v>347</v>
      </c>
      <c r="D213" s="3" t="s">
        <v>91</v>
      </c>
      <c r="E213" s="3" t="s">
        <v>92</v>
      </c>
      <c r="F213" s="3" t="s">
        <v>393</v>
      </c>
      <c r="G213" s="3" t="s">
        <v>26</v>
      </c>
      <c r="H213" s="4">
        <v>3834</v>
      </c>
      <c r="I213" s="20">
        <v>2621</v>
      </c>
    </row>
    <row r="214" spans="1:9" x14ac:dyDescent="0.25">
      <c r="A214" s="17" t="s">
        <v>501</v>
      </c>
      <c r="B214" s="10">
        <v>44118</v>
      </c>
      <c r="C214" s="1" t="s">
        <v>502</v>
      </c>
      <c r="D214" s="1" t="s">
        <v>11</v>
      </c>
      <c r="E214" s="1" t="s">
        <v>128</v>
      </c>
      <c r="F214" s="1" t="s">
        <v>129</v>
      </c>
      <c r="G214" s="1" t="s">
        <v>14</v>
      </c>
      <c r="H214" s="2">
        <v>3057</v>
      </c>
      <c r="I214" s="19">
        <v>1945</v>
      </c>
    </row>
    <row r="215" spans="1:9" x14ac:dyDescent="0.25">
      <c r="A215" s="18" t="s">
        <v>503</v>
      </c>
      <c r="B215" s="11">
        <v>43813</v>
      </c>
      <c r="C215" s="3" t="s">
        <v>504</v>
      </c>
      <c r="D215" s="3" t="s">
        <v>11</v>
      </c>
      <c r="E215" s="3" t="s">
        <v>12</v>
      </c>
      <c r="F215" s="3" t="s">
        <v>13</v>
      </c>
      <c r="G215" s="3" t="s">
        <v>14</v>
      </c>
      <c r="H215" s="4">
        <v>2194</v>
      </c>
      <c r="I215" s="20">
        <v>1429</v>
      </c>
    </row>
    <row r="216" spans="1:9" x14ac:dyDescent="0.25">
      <c r="A216" s="17" t="s">
        <v>505</v>
      </c>
      <c r="B216" s="10">
        <v>44179</v>
      </c>
      <c r="C216" s="1" t="s">
        <v>506</v>
      </c>
      <c r="D216" s="1" t="s">
        <v>48</v>
      </c>
      <c r="E216" s="1" t="s">
        <v>49</v>
      </c>
      <c r="F216" s="1" t="s">
        <v>98</v>
      </c>
      <c r="G216" s="1" t="s">
        <v>26</v>
      </c>
      <c r="H216" s="2">
        <v>4586</v>
      </c>
      <c r="I216" s="19">
        <v>2275</v>
      </c>
    </row>
    <row r="217" spans="1:9" x14ac:dyDescent="0.25">
      <c r="A217" s="18" t="s">
        <v>507</v>
      </c>
      <c r="B217" s="11">
        <v>44179</v>
      </c>
      <c r="C217" s="3" t="s">
        <v>508</v>
      </c>
      <c r="D217" s="3" t="s">
        <v>72</v>
      </c>
      <c r="E217" s="3" t="s">
        <v>73</v>
      </c>
      <c r="F217" s="3" t="s">
        <v>74</v>
      </c>
      <c r="G217" s="3" t="s">
        <v>20</v>
      </c>
      <c r="H217" s="4">
        <v>4556</v>
      </c>
      <c r="I217" s="20">
        <v>3361</v>
      </c>
    </row>
    <row r="218" spans="1:9" x14ac:dyDescent="0.25">
      <c r="A218" s="17" t="s">
        <v>509</v>
      </c>
      <c r="B218" s="10">
        <v>43511</v>
      </c>
      <c r="C218" s="1" t="s">
        <v>510</v>
      </c>
      <c r="D218" s="1" t="s">
        <v>72</v>
      </c>
      <c r="E218" s="1" t="s">
        <v>172</v>
      </c>
      <c r="F218" s="1" t="s">
        <v>173</v>
      </c>
      <c r="G218" s="1" t="s">
        <v>20</v>
      </c>
      <c r="H218" s="2">
        <v>4516</v>
      </c>
      <c r="I218" s="19">
        <v>2833</v>
      </c>
    </row>
    <row r="219" spans="1:9" x14ac:dyDescent="0.25">
      <c r="A219" s="18" t="s">
        <v>511</v>
      </c>
      <c r="B219" s="11">
        <v>43174</v>
      </c>
      <c r="C219" s="3" t="s">
        <v>512</v>
      </c>
      <c r="D219" s="3" t="s">
        <v>17</v>
      </c>
      <c r="E219" s="3" t="s">
        <v>57</v>
      </c>
      <c r="F219" s="3" t="s">
        <v>57</v>
      </c>
      <c r="G219" s="3" t="s">
        <v>20</v>
      </c>
      <c r="H219" s="4">
        <v>3363</v>
      </c>
      <c r="I219" s="20">
        <v>2266</v>
      </c>
    </row>
    <row r="220" spans="1:9" x14ac:dyDescent="0.25">
      <c r="A220" s="17" t="s">
        <v>513</v>
      </c>
      <c r="B220" s="10">
        <v>43905</v>
      </c>
      <c r="C220" s="1" t="s">
        <v>514</v>
      </c>
      <c r="D220" s="1" t="s">
        <v>17</v>
      </c>
      <c r="E220" s="1" t="s">
        <v>18</v>
      </c>
      <c r="F220" s="1" t="s">
        <v>19</v>
      </c>
      <c r="G220" s="1" t="s">
        <v>20</v>
      </c>
      <c r="H220" s="2">
        <v>3944</v>
      </c>
      <c r="I220" s="19">
        <v>2322</v>
      </c>
    </row>
    <row r="221" spans="1:9" x14ac:dyDescent="0.25">
      <c r="A221" s="18" t="s">
        <v>515</v>
      </c>
      <c r="B221" s="11">
        <v>43905</v>
      </c>
      <c r="C221" s="3" t="s">
        <v>516</v>
      </c>
      <c r="D221" s="3" t="s">
        <v>11</v>
      </c>
      <c r="E221" s="3" t="s">
        <v>12</v>
      </c>
      <c r="F221" s="3" t="s">
        <v>12</v>
      </c>
      <c r="G221" s="3" t="s">
        <v>14</v>
      </c>
      <c r="H221" s="4">
        <v>1720</v>
      </c>
      <c r="I221" s="20">
        <v>1265</v>
      </c>
    </row>
    <row r="222" spans="1:9" x14ac:dyDescent="0.25">
      <c r="A222" s="17" t="s">
        <v>517</v>
      </c>
      <c r="B222" s="10">
        <v>43905</v>
      </c>
      <c r="C222" s="1" t="s">
        <v>95</v>
      </c>
      <c r="D222" s="1" t="s">
        <v>11</v>
      </c>
      <c r="E222" s="1" t="s">
        <v>128</v>
      </c>
      <c r="F222" s="1" t="s">
        <v>187</v>
      </c>
      <c r="G222" s="1" t="s">
        <v>14</v>
      </c>
      <c r="H222" s="2">
        <v>4573</v>
      </c>
      <c r="I222" s="19">
        <v>2677</v>
      </c>
    </row>
    <row r="223" spans="1:9" x14ac:dyDescent="0.25">
      <c r="A223" s="18" t="s">
        <v>518</v>
      </c>
      <c r="B223" s="11">
        <v>43235</v>
      </c>
      <c r="C223" s="3" t="s">
        <v>263</v>
      </c>
      <c r="D223" s="3" t="s">
        <v>38</v>
      </c>
      <c r="E223" s="3" t="s">
        <v>39</v>
      </c>
      <c r="F223" s="3" t="s">
        <v>40</v>
      </c>
      <c r="G223" s="3" t="s">
        <v>14</v>
      </c>
      <c r="H223" s="4">
        <v>5794</v>
      </c>
      <c r="I223" s="20">
        <v>4135</v>
      </c>
    </row>
    <row r="224" spans="1:9" x14ac:dyDescent="0.25">
      <c r="A224" s="17" t="s">
        <v>519</v>
      </c>
      <c r="B224" s="10">
        <v>43661</v>
      </c>
      <c r="C224" s="1" t="s">
        <v>520</v>
      </c>
      <c r="D224" s="1" t="s">
        <v>11</v>
      </c>
      <c r="E224" s="1" t="s">
        <v>128</v>
      </c>
      <c r="F224" s="1" t="s">
        <v>187</v>
      </c>
      <c r="G224" s="1" t="s">
        <v>14</v>
      </c>
      <c r="H224" s="2">
        <v>4327</v>
      </c>
      <c r="I224" s="19">
        <v>3186</v>
      </c>
    </row>
    <row r="225" spans="1:9" x14ac:dyDescent="0.25">
      <c r="A225" s="18" t="s">
        <v>521</v>
      </c>
      <c r="B225" s="11">
        <v>44027</v>
      </c>
      <c r="C225" s="3" t="s">
        <v>522</v>
      </c>
      <c r="D225" s="3" t="s">
        <v>72</v>
      </c>
      <c r="E225" s="3" t="s">
        <v>79</v>
      </c>
      <c r="F225" s="3" t="s">
        <v>80</v>
      </c>
      <c r="G225" s="3" t="s">
        <v>20</v>
      </c>
      <c r="H225" s="4">
        <v>2442</v>
      </c>
      <c r="I225" s="20">
        <v>1115</v>
      </c>
    </row>
    <row r="226" spans="1:9" x14ac:dyDescent="0.25">
      <c r="A226" s="17" t="s">
        <v>523</v>
      </c>
      <c r="B226" s="10">
        <v>43327</v>
      </c>
      <c r="C226" s="1" t="s">
        <v>524</v>
      </c>
      <c r="D226" s="1" t="s">
        <v>33</v>
      </c>
      <c r="E226" s="1" t="s">
        <v>149</v>
      </c>
      <c r="F226" s="1" t="s">
        <v>155</v>
      </c>
      <c r="G226" s="1" t="s">
        <v>26</v>
      </c>
      <c r="H226" s="2">
        <v>5691</v>
      </c>
      <c r="I226" s="19">
        <v>2689</v>
      </c>
    </row>
    <row r="227" spans="1:9" x14ac:dyDescent="0.25">
      <c r="A227" s="18" t="s">
        <v>525</v>
      </c>
      <c r="B227" s="11">
        <v>43358</v>
      </c>
      <c r="C227" s="3" t="s">
        <v>526</v>
      </c>
      <c r="D227" s="3" t="s">
        <v>91</v>
      </c>
      <c r="E227" s="3" t="s">
        <v>115</v>
      </c>
      <c r="F227" s="3" t="s">
        <v>116</v>
      </c>
      <c r="G227" s="3" t="s">
        <v>26</v>
      </c>
      <c r="H227" s="4">
        <v>3269</v>
      </c>
      <c r="I227" s="20">
        <v>2268</v>
      </c>
    </row>
    <row r="228" spans="1:9" x14ac:dyDescent="0.25">
      <c r="A228" s="17" t="s">
        <v>527</v>
      </c>
      <c r="B228" s="10">
        <v>43723</v>
      </c>
      <c r="C228" s="1" t="s">
        <v>528</v>
      </c>
      <c r="D228" s="1" t="s">
        <v>23</v>
      </c>
      <c r="E228" s="1" t="s">
        <v>119</v>
      </c>
      <c r="F228" s="1" t="s">
        <v>119</v>
      </c>
      <c r="G228" s="1" t="s">
        <v>26</v>
      </c>
      <c r="H228" s="2">
        <v>5119</v>
      </c>
      <c r="I228" s="19">
        <v>2982</v>
      </c>
    </row>
    <row r="229" spans="1:9" x14ac:dyDescent="0.25">
      <c r="A229" s="18" t="s">
        <v>529</v>
      </c>
      <c r="B229" s="11">
        <v>43723</v>
      </c>
      <c r="C229" s="3" t="s">
        <v>530</v>
      </c>
      <c r="D229" s="3" t="s">
        <v>91</v>
      </c>
      <c r="E229" s="3" t="s">
        <v>115</v>
      </c>
      <c r="F229" s="3" t="s">
        <v>233</v>
      </c>
      <c r="G229" s="3" t="s">
        <v>26</v>
      </c>
      <c r="H229" s="4">
        <v>3348</v>
      </c>
      <c r="I229" s="20">
        <v>2285</v>
      </c>
    </row>
    <row r="230" spans="1:9" x14ac:dyDescent="0.25">
      <c r="A230" s="17" t="s">
        <v>531</v>
      </c>
      <c r="B230" s="10">
        <v>43723</v>
      </c>
      <c r="C230" s="1" t="s">
        <v>532</v>
      </c>
      <c r="D230" s="1" t="s">
        <v>72</v>
      </c>
      <c r="E230" s="1" t="s">
        <v>73</v>
      </c>
      <c r="F230" s="1" t="s">
        <v>402</v>
      </c>
      <c r="G230" s="1" t="s">
        <v>20</v>
      </c>
      <c r="H230" s="2">
        <v>2158</v>
      </c>
      <c r="I230" s="19">
        <v>1358</v>
      </c>
    </row>
    <row r="231" spans="1:9" x14ac:dyDescent="0.25">
      <c r="A231" s="18" t="s">
        <v>533</v>
      </c>
      <c r="B231" s="11">
        <v>44089</v>
      </c>
      <c r="C231" s="3" t="s">
        <v>534</v>
      </c>
      <c r="D231" s="3" t="s">
        <v>23</v>
      </c>
      <c r="E231" s="3" t="s">
        <v>24</v>
      </c>
      <c r="F231" s="3" t="s">
        <v>138</v>
      </c>
      <c r="G231" s="3" t="s">
        <v>26</v>
      </c>
      <c r="H231" s="4">
        <v>2660</v>
      </c>
      <c r="I231" s="20">
        <v>1474</v>
      </c>
    </row>
    <row r="232" spans="1:9" x14ac:dyDescent="0.25">
      <c r="A232" s="17" t="s">
        <v>535</v>
      </c>
      <c r="B232" s="10">
        <v>44089</v>
      </c>
      <c r="C232" s="1" t="s">
        <v>536</v>
      </c>
      <c r="D232" s="1" t="s">
        <v>23</v>
      </c>
      <c r="E232" s="1" t="s">
        <v>24</v>
      </c>
      <c r="F232" s="1" t="s">
        <v>25</v>
      </c>
      <c r="G232" s="1" t="s">
        <v>26</v>
      </c>
      <c r="H232" s="2">
        <v>2786</v>
      </c>
      <c r="I232" s="19">
        <v>1298</v>
      </c>
    </row>
    <row r="233" spans="1:9" x14ac:dyDescent="0.25">
      <c r="A233" s="18" t="s">
        <v>537</v>
      </c>
      <c r="B233" s="11">
        <v>44119</v>
      </c>
      <c r="C233" s="3" t="s">
        <v>538</v>
      </c>
      <c r="D233" s="3" t="s">
        <v>33</v>
      </c>
      <c r="E233" s="3" t="s">
        <v>34</v>
      </c>
      <c r="F233" s="3" t="s">
        <v>135</v>
      </c>
      <c r="G233" s="3" t="s">
        <v>26</v>
      </c>
      <c r="H233" s="4">
        <v>4536</v>
      </c>
      <c r="I233" s="20">
        <v>2467</v>
      </c>
    </row>
    <row r="234" spans="1:9" x14ac:dyDescent="0.25">
      <c r="A234" s="17" t="s">
        <v>539</v>
      </c>
      <c r="B234" s="10">
        <v>44119</v>
      </c>
      <c r="C234" s="1" t="s">
        <v>67</v>
      </c>
      <c r="D234" s="1" t="s">
        <v>23</v>
      </c>
      <c r="E234" s="1" t="s">
        <v>119</v>
      </c>
      <c r="F234" s="1" t="s">
        <v>119</v>
      </c>
      <c r="G234" s="1" t="s">
        <v>26</v>
      </c>
      <c r="H234" s="2">
        <v>1789</v>
      </c>
      <c r="I234" s="19">
        <v>1117</v>
      </c>
    </row>
    <row r="235" spans="1:9" x14ac:dyDescent="0.25">
      <c r="A235" s="18" t="s">
        <v>540</v>
      </c>
      <c r="B235" s="11">
        <v>43419</v>
      </c>
      <c r="C235" s="3" t="s">
        <v>541</v>
      </c>
      <c r="D235" s="3" t="s">
        <v>23</v>
      </c>
      <c r="E235" s="3" t="s">
        <v>24</v>
      </c>
      <c r="F235" s="3" t="s">
        <v>25</v>
      </c>
      <c r="G235" s="3" t="s">
        <v>26</v>
      </c>
      <c r="H235" s="4">
        <v>5083</v>
      </c>
      <c r="I235" s="20">
        <v>3400</v>
      </c>
    </row>
    <row r="236" spans="1:9" x14ac:dyDescent="0.25">
      <c r="A236" s="17" t="s">
        <v>542</v>
      </c>
      <c r="B236" s="10">
        <v>43449</v>
      </c>
      <c r="C236" s="1" t="s">
        <v>543</v>
      </c>
      <c r="D236" s="1" t="s">
        <v>43</v>
      </c>
      <c r="E236" s="1" t="s">
        <v>44</v>
      </c>
      <c r="F236" s="1" t="s">
        <v>60</v>
      </c>
      <c r="G236" s="1" t="s">
        <v>14</v>
      </c>
      <c r="H236" s="2">
        <v>5356</v>
      </c>
      <c r="I236" s="19">
        <v>2615</v>
      </c>
    </row>
    <row r="237" spans="1:9" x14ac:dyDescent="0.25">
      <c r="A237" s="18" t="s">
        <v>544</v>
      </c>
      <c r="B237" s="11">
        <v>43846</v>
      </c>
      <c r="C237" s="3" t="s">
        <v>545</v>
      </c>
      <c r="D237" s="3" t="s">
        <v>43</v>
      </c>
      <c r="E237" s="3" t="s">
        <v>83</v>
      </c>
      <c r="F237" s="3" t="s">
        <v>160</v>
      </c>
      <c r="G237" s="3" t="s">
        <v>14</v>
      </c>
      <c r="H237" s="4">
        <v>3339</v>
      </c>
      <c r="I237" s="20">
        <v>1824</v>
      </c>
    </row>
    <row r="238" spans="1:9" x14ac:dyDescent="0.25">
      <c r="A238" s="17" t="s">
        <v>546</v>
      </c>
      <c r="B238" s="10">
        <v>43877</v>
      </c>
      <c r="C238" s="1" t="s">
        <v>547</v>
      </c>
      <c r="D238" s="1" t="s">
        <v>11</v>
      </c>
      <c r="E238" s="1" t="s">
        <v>128</v>
      </c>
      <c r="F238" s="1" t="s">
        <v>187</v>
      </c>
      <c r="G238" s="1" t="s">
        <v>14</v>
      </c>
      <c r="H238" s="2">
        <v>5988</v>
      </c>
      <c r="I238" s="19">
        <v>4192</v>
      </c>
    </row>
    <row r="239" spans="1:9" x14ac:dyDescent="0.25">
      <c r="A239" s="18" t="s">
        <v>548</v>
      </c>
      <c r="B239" s="11">
        <v>43877</v>
      </c>
      <c r="C239" s="3" t="s">
        <v>549</v>
      </c>
      <c r="D239" s="3" t="s">
        <v>33</v>
      </c>
      <c r="E239" s="3" t="s">
        <v>34</v>
      </c>
      <c r="F239" s="3" t="s">
        <v>35</v>
      </c>
      <c r="G239" s="3" t="s">
        <v>26</v>
      </c>
      <c r="H239" s="4">
        <v>4605</v>
      </c>
      <c r="I239" s="20">
        <v>2456</v>
      </c>
    </row>
    <row r="240" spans="1:9" x14ac:dyDescent="0.25">
      <c r="A240" s="17" t="s">
        <v>550</v>
      </c>
      <c r="B240" s="10">
        <v>43877</v>
      </c>
      <c r="C240" s="1" t="s">
        <v>551</v>
      </c>
      <c r="D240" s="1" t="s">
        <v>33</v>
      </c>
      <c r="E240" s="1" t="s">
        <v>34</v>
      </c>
      <c r="F240" s="1" t="s">
        <v>135</v>
      </c>
      <c r="G240" s="1" t="s">
        <v>26</v>
      </c>
      <c r="H240" s="2">
        <v>5494</v>
      </c>
      <c r="I240" s="19">
        <v>2821</v>
      </c>
    </row>
    <row r="241" spans="1:9" x14ac:dyDescent="0.25">
      <c r="A241" s="18" t="s">
        <v>552</v>
      </c>
      <c r="B241" s="11">
        <v>43877</v>
      </c>
      <c r="C241" s="3" t="s">
        <v>553</v>
      </c>
      <c r="D241" s="3" t="s">
        <v>33</v>
      </c>
      <c r="E241" s="3" t="s">
        <v>149</v>
      </c>
      <c r="F241" s="3" t="s">
        <v>155</v>
      </c>
      <c r="G241" s="3" t="s">
        <v>26</v>
      </c>
      <c r="H241" s="4">
        <v>2903</v>
      </c>
      <c r="I241" s="20">
        <v>1378</v>
      </c>
    </row>
    <row r="242" spans="1:9" x14ac:dyDescent="0.25">
      <c r="A242" s="17" t="s">
        <v>554</v>
      </c>
      <c r="B242" s="10">
        <v>43937</v>
      </c>
      <c r="C242" s="1" t="s">
        <v>555</v>
      </c>
      <c r="D242" s="1" t="s">
        <v>72</v>
      </c>
      <c r="E242" s="1" t="s">
        <v>172</v>
      </c>
      <c r="F242" s="1" t="s">
        <v>192</v>
      </c>
      <c r="G242" s="1" t="s">
        <v>20</v>
      </c>
      <c r="H242" s="2">
        <v>4944</v>
      </c>
      <c r="I242" s="19">
        <v>3211</v>
      </c>
    </row>
    <row r="243" spans="1:9" x14ac:dyDescent="0.25">
      <c r="A243" s="18" t="s">
        <v>556</v>
      </c>
      <c r="B243" s="11">
        <v>43937</v>
      </c>
      <c r="C243" s="3" t="s">
        <v>557</v>
      </c>
      <c r="D243" s="3" t="s">
        <v>91</v>
      </c>
      <c r="E243" s="3" t="s">
        <v>92</v>
      </c>
      <c r="F243" s="3" t="s">
        <v>93</v>
      </c>
      <c r="G243" s="3" t="s">
        <v>26</v>
      </c>
      <c r="H243" s="4">
        <v>4872</v>
      </c>
      <c r="I243" s="20">
        <v>3206</v>
      </c>
    </row>
    <row r="244" spans="1:9" x14ac:dyDescent="0.25">
      <c r="A244" s="17" t="s">
        <v>558</v>
      </c>
      <c r="B244" s="10">
        <v>43967</v>
      </c>
      <c r="C244" s="1" t="s">
        <v>559</v>
      </c>
      <c r="D244" s="1" t="s">
        <v>17</v>
      </c>
      <c r="E244" s="1" t="s">
        <v>57</v>
      </c>
      <c r="F244" s="1" t="s">
        <v>57</v>
      </c>
      <c r="G244" s="1" t="s">
        <v>20</v>
      </c>
      <c r="H244" s="2">
        <v>4768</v>
      </c>
      <c r="I244" s="19">
        <v>3569</v>
      </c>
    </row>
    <row r="245" spans="1:9" x14ac:dyDescent="0.25">
      <c r="A245" s="18" t="s">
        <v>560</v>
      </c>
      <c r="B245" s="11">
        <v>43967</v>
      </c>
      <c r="C245" s="3" t="s">
        <v>561</v>
      </c>
      <c r="D245" s="3" t="s">
        <v>72</v>
      </c>
      <c r="E245" s="3" t="s">
        <v>87</v>
      </c>
      <c r="F245" s="3" t="s">
        <v>88</v>
      </c>
      <c r="G245" s="3" t="s">
        <v>20</v>
      </c>
      <c r="H245" s="4">
        <v>2348</v>
      </c>
      <c r="I245" s="20">
        <v>1463</v>
      </c>
    </row>
    <row r="246" spans="1:9" x14ac:dyDescent="0.25">
      <c r="A246" s="17" t="s">
        <v>562</v>
      </c>
      <c r="B246" s="10">
        <v>43724</v>
      </c>
      <c r="C246" s="1" t="s">
        <v>563</v>
      </c>
      <c r="D246" s="1" t="s">
        <v>91</v>
      </c>
      <c r="E246" s="1" t="s">
        <v>92</v>
      </c>
      <c r="F246" s="1" t="s">
        <v>393</v>
      </c>
      <c r="G246" s="1" t="s">
        <v>26</v>
      </c>
      <c r="H246" s="2">
        <v>2611</v>
      </c>
      <c r="I246" s="19">
        <v>1479</v>
      </c>
    </row>
    <row r="247" spans="1:9" x14ac:dyDescent="0.25">
      <c r="A247" s="18" t="s">
        <v>564</v>
      </c>
      <c r="B247" s="11">
        <v>43754</v>
      </c>
      <c r="C247" s="3" t="s">
        <v>565</v>
      </c>
      <c r="D247" s="3" t="s">
        <v>48</v>
      </c>
      <c r="E247" s="3" t="s">
        <v>49</v>
      </c>
      <c r="F247" s="3" t="s">
        <v>105</v>
      </c>
      <c r="G247" s="3" t="s">
        <v>26</v>
      </c>
      <c r="H247" s="4">
        <v>2673</v>
      </c>
      <c r="I247" s="20">
        <v>1993</v>
      </c>
    </row>
    <row r="248" spans="1:9" x14ac:dyDescent="0.25">
      <c r="A248" s="17" t="s">
        <v>566</v>
      </c>
      <c r="B248" s="10">
        <v>43450</v>
      </c>
      <c r="C248" s="1" t="s">
        <v>567</v>
      </c>
      <c r="D248" s="1" t="s">
        <v>91</v>
      </c>
      <c r="E248" s="1" t="s">
        <v>101</v>
      </c>
      <c r="F248" s="1" t="s">
        <v>102</v>
      </c>
      <c r="G248" s="1" t="s">
        <v>26</v>
      </c>
      <c r="H248" s="2">
        <v>4026</v>
      </c>
      <c r="I248" s="19">
        <v>2759</v>
      </c>
    </row>
    <row r="249" spans="1:9" x14ac:dyDescent="0.25">
      <c r="A249" s="18" t="s">
        <v>568</v>
      </c>
      <c r="B249" s="11">
        <v>43847</v>
      </c>
      <c r="C249" s="3" t="s">
        <v>569</v>
      </c>
      <c r="D249" s="3" t="s">
        <v>17</v>
      </c>
      <c r="E249" s="3" t="s">
        <v>57</v>
      </c>
      <c r="F249" s="3" t="s">
        <v>57</v>
      </c>
      <c r="G249" s="3" t="s">
        <v>20</v>
      </c>
      <c r="H249" s="4">
        <v>2342</v>
      </c>
      <c r="I249" s="20">
        <v>1302</v>
      </c>
    </row>
    <row r="250" spans="1:9" x14ac:dyDescent="0.25">
      <c r="A250" s="17" t="s">
        <v>570</v>
      </c>
      <c r="B250" s="10">
        <v>43572</v>
      </c>
      <c r="C250" s="1" t="s">
        <v>571</v>
      </c>
      <c r="D250" s="1" t="s">
        <v>48</v>
      </c>
      <c r="E250" s="1" t="s">
        <v>49</v>
      </c>
      <c r="F250" s="1" t="s">
        <v>105</v>
      </c>
      <c r="G250" s="1" t="s">
        <v>26</v>
      </c>
      <c r="H250" s="2">
        <v>1846</v>
      </c>
      <c r="I250" s="19">
        <v>1072</v>
      </c>
    </row>
    <row r="251" spans="1:9" x14ac:dyDescent="0.25">
      <c r="A251" s="18" t="s">
        <v>572</v>
      </c>
      <c r="B251" s="11">
        <v>43602</v>
      </c>
      <c r="C251" s="3" t="s">
        <v>573</v>
      </c>
      <c r="D251" s="3" t="s">
        <v>23</v>
      </c>
      <c r="E251" s="3" t="s">
        <v>119</v>
      </c>
      <c r="F251" s="3" t="s">
        <v>119</v>
      </c>
      <c r="G251" s="3" t="s">
        <v>26</v>
      </c>
      <c r="H251" s="4">
        <v>4156</v>
      </c>
      <c r="I251" s="20">
        <v>2921</v>
      </c>
    </row>
    <row r="252" spans="1:9" x14ac:dyDescent="0.25">
      <c r="A252" s="17" t="s">
        <v>574</v>
      </c>
      <c r="B252" s="10">
        <v>43602</v>
      </c>
      <c r="C252" s="1" t="s">
        <v>575</v>
      </c>
      <c r="D252" s="1" t="s">
        <v>91</v>
      </c>
      <c r="E252" s="1" t="s">
        <v>101</v>
      </c>
      <c r="F252" s="1" t="s">
        <v>167</v>
      </c>
      <c r="G252" s="1" t="s">
        <v>26</v>
      </c>
      <c r="H252" s="2">
        <v>3092</v>
      </c>
      <c r="I252" s="19">
        <v>2057</v>
      </c>
    </row>
    <row r="253" spans="1:9" x14ac:dyDescent="0.25">
      <c r="A253" s="18" t="s">
        <v>576</v>
      </c>
      <c r="B253" s="11">
        <v>43968</v>
      </c>
      <c r="C253" s="3" t="s">
        <v>577</v>
      </c>
      <c r="D253" s="3" t="s">
        <v>29</v>
      </c>
      <c r="E253" s="3" t="s">
        <v>30</v>
      </c>
      <c r="F253" s="3" t="s">
        <v>30</v>
      </c>
      <c r="G253" s="3" t="s">
        <v>26</v>
      </c>
      <c r="H253" s="4">
        <v>3645</v>
      </c>
      <c r="I253" s="20">
        <v>1816</v>
      </c>
    </row>
    <row r="254" spans="1:9" x14ac:dyDescent="0.25">
      <c r="A254" s="17" t="s">
        <v>578</v>
      </c>
      <c r="B254" s="10">
        <v>43298</v>
      </c>
      <c r="C254" s="1" t="s">
        <v>579</v>
      </c>
      <c r="D254" s="1" t="s">
        <v>43</v>
      </c>
      <c r="E254" s="1" t="s">
        <v>83</v>
      </c>
      <c r="F254" s="1" t="s">
        <v>160</v>
      </c>
      <c r="G254" s="1" t="s">
        <v>14</v>
      </c>
      <c r="H254" s="2">
        <v>2501</v>
      </c>
      <c r="I254" s="19">
        <v>1433</v>
      </c>
    </row>
    <row r="255" spans="1:9" x14ac:dyDescent="0.25">
      <c r="A255" s="18" t="s">
        <v>580</v>
      </c>
      <c r="B255" s="11">
        <v>43663</v>
      </c>
      <c r="C255" s="3" t="s">
        <v>581</v>
      </c>
      <c r="D255" s="3" t="s">
        <v>72</v>
      </c>
      <c r="E255" s="3" t="s">
        <v>79</v>
      </c>
      <c r="F255" s="3" t="s">
        <v>80</v>
      </c>
      <c r="G255" s="3" t="s">
        <v>20</v>
      </c>
      <c r="H255" s="4">
        <v>2881</v>
      </c>
      <c r="I255" s="20">
        <v>1807</v>
      </c>
    </row>
    <row r="256" spans="1:9" x14ac:dyDescent="0.25">
      <c r="A256" s="17" t="s">
        <v>582</v>
      </c>
      <c r="B256" s="10">
        <v>43663</v>
      </c>
      <c r="C256" s="1" t="s">
        <v>583</v>
      </c>
      <c r="D256" s="1" t="s">
        <v>72</v>
      </c>
      <c r="E256" s="1" t="s">
        <v>172</v>
      </c>
      <c r="F256" s="1" t="s">
        <v>173</v>
      </c>
      <c r="G256" s="1" t="s">
        <v>20</v>
      </c>
      <c r="H256" s="2">
        <v>5557</v>
      </c>
      <c r="I256" s="19">
        <v>3417</v>
      </c>
    </row>
    <row r="257" spans="1:9" x14ac:dyDescent="0.25">
      <c r="A257" s="18" t="s">
        <v>584</v>
      </c>
      <c r="B257" s="11">
        <v>43329</v>
      </c>
      <c r="C257" s="3" t="s">
        <v>585</v>
      </c>
      <c r="D257" s="3" t="s">
        <v>17</v>
      </c>
      <c r="E257" s="3" t="s">
        <v>18</v>
      </c>
      <c r="F257" s="3" t="s">
        <v>19</v>
      </c>
      <c r="G257" s="3" t="s">
        <v>20</v>
      </c>
      <c r="H257" s="4">
        <v>2339</v>
      </c>
      <c r="I257" s="20">
        <v>1527</v>
      </c>
    </row>
    <row r="258" spans="1:9" x14ac:dyDescent="0.25">
      <c r="A258" s="17" t="s">
        <v>586</v>
      </c>
      <c r="B258" s="10">
        <v>43694</v>
      </c>
      <c r="C258" s="1" t="s">
        <v>587</v>
      </c>
      <c r="D258" s="1" t="s">
        <v>33</v>
      </c>
      <c r="E258" s="1" t="s">
        <v>149</v>
      </c>
      <c r="F258" s="1" t="s">
        <v>150</v>
      </c>
      <c r="G258" s="1" t="s">
        <v>26</v>
      </c>
      <c r="H258" s="2">
        <v>3936</v>
      </c>
      <c r="I258" s="19">
        <v>2306</v>
      </c>
    </row>
    <row r="259" spans="1:9" x14ac:dyDescent="0.25">
      <c r="A259" s="18" t="s">
        <v>588</v>
      </c>
      <c r="B259" s="11">
        <v>43360</v>
      </c>
      <c r="C259" s="3" t="s">
        <v>589</v>
      </c>
      <c r="D259" s="3" t="s">
        <v>17</v>
      </c>
      <c r="E259" s="3" t="s">
        <v>18</v>
      </c>
      <c r="F259" s="3" t="s">
        <v>278</v>
      </c>
      <c r="G259" s="3" t="s">
        <v>20</v>
      </c>
      <c r="H259" s="4">
        <v>4138</v>
      </c>
      <c r="I259" s="20">
        <v>2890</v>
      </c>
    </row>
    <row r="260" spans="1:9" x14ac:dyDescent="0.25">
      <c r="A260" s="17" t="s">
        <v>590</v>
      </c>
      <c r="B260" s="10">
        <v>43390</v>
      </c>
      <c r="C260" s="1" t="s">
        <v>591</v>
      </c>
      <c r="D260" s="1" t="s">
        <v>23</v>
      </c>
      <c r="E260" s="1" t="s">
        <v>24</v>
      </c>
      <c r="F260" s="1" t="s">
        <v>138</v>
      </c>
      <c r="G260" s="1" t="s">
        <v>26</v>
      </c>
      <c r="H260" s="2">
        <v>4036</v>
      </c>
      <c r="I260" s="19">
        <v>2492</v>
      </c>
    </row>
    <row r="261" spans="1:9" x14ac:dyDescent="0.25">
      <c r="A261" s="18" t="s">
        <v>592</v>
      </c>
      <c r="B261" s="11">
        <v>43816</v>
      </c>
      <c r="C261" s="3" t="s">
        <v>593</v>
      </c>
      <c r="D261" s="3" t="s">
        <v>43</v>
      </c>
      <c r="E261" s="3" t="s">
        <v>83</v>
      </c>
      <c r="F261" s="3" t="s">
        <v>84</v>
      </c>
      <c r="G261" s="3" t="s">
        <v>14</v>
      </c>
      <c r="H261" s="4">
        <v>2699</v>
      </c>
      <c r="I261" s="20">
        <v>1421</v>
      </c>
    </row>
    <row r="262" spans="1:9" x14ac:dyDescent="0.25">
      <c r="A262" s="17" t="s">
        <v>594</v>
      </c>
      <c r="B262" s="10">
        <v>43149</v>
      </c>
      <c r="C262" s="1" t="s">
        <v>583</v>
      </c>
      <c r="D262" s="1" t="s">
        <v>48</v>
      </c>
      <c r="E262" s="1" t="s">
        <v>49</v>
      </c>
      <c r="F262" s="1" t="s">
        <v>105</v>
      </c>
      <c r="G262" s="1" t="s">
        <v>26</v>
      </c>
      <c r="H262" s="2">
        <v>1511</v>
      </c>
      <c r="I262" s="19">
        <v>1023</v>
      </c>
    </row>
    <row r="263" spans="1:9" x14ac:dyDescent="0.25">
      <c r="A263" s="18" t="s">
        <v>595</v>
      </c>
      <c r="B263" s="11">
        <v>43879</v>
      </c>
      <c r="C263" s="3" t="s">
        <v>596</v>
      </c>
      <c r="D263" s="3" t="s">
        <v>17</v>
      </c>
      <c r="E263" s="3" t="s">
        <v>18</v>
      </c>
      <c r="F263" s="3" t="s">
        <v>278</v>
      </c>
      <c r="G263" s="3" t="s">
        <v>20</v>
      </c>
      <c r="H263" s="4">
        <v>2400</v>
      </c>
      <c r="I263" s="20">
        <v>1217</v>
      </c>
    </row>
    <row r="264" spans="1:9" x14ac:dyDescent="0.25">
      <c r="A264" s="17" t="s">
        <v>597</v>
      </c>
      <c r="B264" s="10">
        <v>43879</v>
      </c>
      <c r="C264" s="1" t="s">
        <v>598</v>
      </c>
      <c r="D264" s="1" t="s">
        <v>72</v>
      </c>
      <c r="E264" s="1" t="s">
        <v>172</v>
      </c>
      <c r="F264" s="1" t="s">
        <v>192</v>
      </c>
      <c r="G264" s="1" t="s">
        <v>20</v>
      </c>
      <c r="H264" s="2">
        <v>2172</v>
      </c>
      <c r="I264" s="19">
        <v>1152</v>
      </c>
    </row>
    <row r="265" spans="1:9" x14ac:dyDescent="0.25">
      <c r="A265" s="18" t="s">
        <v>599</v>
      </c>
      <c r="B265" s="11">
        <v>43879</v>
      </c>
      <c r="C265" s="3" t="s">
        <v>600</v>
      </c>
      <c r="D265" s="3" t="s">
        <v>43</v>
      </c>
      <c r="E265" s="3" t="s">
        <v>44</v>
      </c>
      <c r="F265" s="3" t="s">
        <v>45</v>
      </c>
      <c r="G265" s="3" t="s">
        <v>14</v>
      </c>
      <c r="H265" s="4">
        <v>4454</v>
      </c>
      <c r="I265" s="20">
        <v>2146</v>
      </c>
    </row>
    <row r="266" spans="1:9" x14ac:dyDescent="0.25">
      <c r="A266" s="17" t="s">
        <v>601</v>
      </c>
      <c r="B266" s="10">
        <v>43177</v>
      </c>
      <c r="C266" s="1" t="s">
        <v>602</v>
      </c>
      <c r="D266" s="1" t="s">
        <v>72</v>
      </c>
      <c r="E266" s="1" t="s">
        <v>79</v>
      </c>
      <c r="F266" s="1" t="s">
        <v>80</v>
      </c>
      <c r="G266" s="1" t="s">
        <v>20</v>
      </c>
      <c r="H266" s="2">
        <v>1892</v>
      </c>
      <c r="I266" s="19">
        <v>1227</v>
      </c>
    </row>
    <row r="267" spans="1:9" x14ac:dyDescent="0.25">
      <c r="A267" s="18" t="s">
        <v>603</v>
      </c>
      <c r="B267" s="11">
        <v>43908</v>
      </c>
      <c r="C267" s="3" t="s">
        <v>604</v>
      </c>
      <c r="D267" s="3" t="s">
        <v>11</v>
      </c>
      <c r="E267" s="3" t="s">
        <v>12</v>
      </c>
      <c r="F267" s="3" t="s">
        <v>13</v>
      </c>
      <c r="G267" s="3" t="s">
        <v>14</v>
      </c>
      <c r="H267" s="4">
        <v>2570</v>
      </c>
      <c r="I267" s="20">
        <v>1339</v>
      </c>
    </row>
    <row r="268" spans="1:9" x14ac:dyDescent="0.25">
      <c r="A268" s="17" t="s">
        <v>605</v>
      </c>
      <c r="B268" s="10">
        <v>43208</v>
      </c>
      <c r="C268" s="1" t="s">
        <v>606</v>
      </c>
      <c r="D268" s="1" t="s">
        <v>38</v>
      </c>
      <c r="E268" s="1" t="s">
        <v>179</v>
      </c>
      <c r="F268" s="1" t="s">
        <v>180</v>
      </c>
      <c r="G268" s="1" t="s">
        <v>14</v>
      </c>
      <c r="H268" s="2">
        <v>2064</v>
      </c>
      <c r="I268" s="19">
        <v>1471</v>
      </c>
    </row>
    <row r="269" spans="1:9" x14ac:dyDescent="0.25">
      <c r="A269" s="18" t="s">
        <v>607</v>
      </c>
      <c r="B269" s="11">
        <v>43969</v>
      </c>
      <c r="C269" s="3" t="s">
        <v>608</v>
      </c>
      <c r="D269" s="3" t="s">
        <v>17</v>
      </c>
      <c r="E269" s="3" t="s">
        <v>18</v>
      </c>
      <c r="F269" s="3" t="s">
        <v>63</v>
      </c>
      <c r="G269" s="3" t="s">
        <v>20</v>
      </c>
      <c r="H269" s="4">
        <v>4335</v>
      </c>
      <c r="I269" s="20">
        <v>2152</v>
      </c>
    </row>
    <row r="270" spans="1:9" x14ac:dyDescent="0.25">
      <c r="A270" s="17" t="s">
        <v>609</v>
      </c>
      <c r="B270" s="10">
        <v>44000</v>
      </c>
      <c r="C270" s="1" t="s">
        <v>610</v>
      </c>
      <c r="D270" s="1" t="s">
        <v>11</v>
      </c>
      <c r="E270" s="1" t="s">
        <v>12</v>
      </c>
      <c r="F270" s="1" t="s">
        <v>13</v>
      </c>
      <c r="G270" s="1" t="s">
        <v>14</v>
      </c>
      <c r="H270" s="2">
        <v>4554</v>
      </c>
      <c r="I270" s="19">
        <v>3303</v>
      </c>
    </row>
    <row r="271" spans="1:9" x14ac:dyDescent="0.25">
      <c r="A271" s="18" t="s">
        <v>611</v>
      </c>
      <c r="B271" s="11">
        <v>44061</v>
      </c>
      <c r="C271" s="3" t="s">
        <v>612</v>
      </c>
      <c r="D271" s="3" t="s">
        <v>72</v>
      </c>
      <c r="E271" s="3" t="s">
        <v>87</v>
      </c>
      <c r="F271" s="3" t="s">
        <v>88</v>
      </c>
      <c r="G271" s="3" t="s">
        <v>20</v>
      </c>
      <c r="H271" s="4">
        <v>4383</v>
      </c>
      <c r="I271" s="20">
        <v>2639</v>
      </c>
    </row>
    <row r="272" spans="1:9" x14ac:dyDescent="0.25">
      <c r="A272" s="17" t="s">
        <v>613</v>
      </c>
      <c r="B272" s="10">
        <v>44061</v>
      </c>
      <c r="C272" s="1" t="s">
        <v>614</v>
      </c>
      <c r="D272" s="1" t="s">
        <v>11</v>
      </c>
      <c r="E272" s="1" t="s">
        <v>128</v>
      </c>
      <c r="F272" s="1" t="s">
        <v>187</v>
      </c>
      <c r="G272" s="1" t="s">
        <v>14</v>
      </c>
      <c r="H272" s="2">
        <v>3808</v>
      </c>
      <c r="I272" s="19">
        <v>2602</v>
      </c>
    </row>
    <row r="273" spans="1:9" x14ac:dyDescent="0.25">
      <c r="A273" s="18" t="s">
        <v>615</v>
      </c>
      <c r="B273" s="11">
        <v>44061</v>
      </c>
      <c r="C273" s="3" t="s">
        <v>71</v>
      </c>
      <c r="D273" s="3" t="s">
        <v>29</v>
      </c>
      <c r="E273" s="3" t="s">
        <v>30</v>
      </c>
      <c r="F273" s="3" t="s">
        <v>30</v>
      </c>
      <c r="G273" s="3" t="s">
        <v>26</v>
      </c>
      <c r="H273" s="4">
        <v>3596</v>
      </c>
      <c r="I273" s="20">
        <v>1850</v>
      </c>
    </row>
    <row r="274" spans="1:9" x14ac:dyDescent="0.25">
      <c r="A274" s="17" t="s">
        <v>616</v>
      </c>
      <c r="B274" s="10">
        <v>43726</v>
      </c>
      <c r="C274" s="1" t="s">
        <v>617</v>
      </c>
      <c r="D274" s="1" t="s">
        <v>72</v>
      </c>
      <c r="E274" s="1" t="s">
        <v>73</v>
      </c>
      <c r="F274" s="1" t="s">
        <v>402</v>
      </c>
      <c r="G274" s="1" t="s">
        <v>20</v>
      </c>
      <c r="H274" s="2">
        <v>4356</v>
      </c>
      <c r="I274" s="19">
        <v>2560</v>
      </c>
    </row>
    <row r="275" spans="1:9" x14ac:dyDescent="0.25">
      <c r="A275" s="18" t="s">
        <v>618</v>
      </c>
      <c r="B275" s="11">
        <v>44092</v>
      </c>
      <c r="C275" s="3" t="s">
        <v>619</v>
      </c>
      <c r="D275" s="3" t="s">
        <v>38</v>
      </c>
      <c r="E275" s="3" t="s">
        <v>39</v>
      </c>
      <c r="F275" s="3" t="s">
        <v>132</v>
      </c>
      <c r="G275" s="3" t="s">
        <v>14</v>
      </c>
      <c r="H275" s="4">
        <v>4136</v>
      </c>
      <c r="I275" s="20">
        <v>2940</v>
      </c>
    </row>
    <row r="276" spans="1:9" x14ac:dyDescent="0.25">
      <c r="A276" s="17" t="s">
        <v>620</v>
      </c>
      <c r="B276" s="10">
        <v>44122</v>
      </c>
      <c r="C276" s="1" t="s">
        <v>621</v>
      </c>
      <c r="D276" s="1" t="s">
        <v>33</v>
      </c>
      <c r="E276" s="1" t="s">
        <v>149</v>
      </c>
      <c r="F276" s="1" t="s">
        <v>155</v>
      </c>
      <c r="G276" s="1" t="s">
        <v>26</v>
      </c>
      <c r="H276" s="2">
        <v>3791</v>
      </c>
      <c r="I276" s="19">
        <v>2141</v>
      </c>
    </row>
    <row r="277" spans="1:9" x14ac:dyDescent="0.25">
      <c r="A277" s="18" t="s">
        <v>622</v>
      </c>
      <c r="B277" s="11">
        <v>43787</v>
      </c>
      <c r="C277" s="3" t="s">
        <v>530</v>
      </c>
      <c r="D277" s="3" t="s">
        <v>72</v>
      </c>
      <c r="E277" s="3" t="s">
        <v>172</v>
      </c>
      <c r="F277" s="3" t="s">
        <v>192</v>
      </c>
      <c r="G277" s="3" t="s">
        <v>20</v>
      </c>
      <c r="H277" s="4">
        <v>2707</v>
      </c>
      <c r="I277" s="20">
        <v>1237</v>
      </c>
    </row>
    <row r="278" spans="1:9" x14ac:dyDescent="0.25">
      <c r="A278" s="17" t="s">
        <v>623</v>
      </c>
      <c r="B278" s="10">
        <v>43787</v>
      </c>
      <c r="C278" s="1" t="s">
        <v>624</v>
      </c>
      <c r="D278" s="1" t="s">
        <v>29</v>
      </c>
      <c r="E278" s="1" t="s">
        <v>30</v>
      </c>
      <c r="F278" s="1" t="s">
        <v>30</v>
      </c>
      <c r="G278" s="1" t="s">
        <v>26</v>
      </c>
      <c r="H278" s="2">
        <v>2636</v>
      </c>
      <c r="I278" s="19">
        <v>1786</v>
      </c>
    </row>
    <row r="279" spans="1:9" x14ac:dyDescent="0.25">
      <c r="A279" s="18" t="s">
        <v>625</v>
      </c>
      <c r="B279" s="11">
        <v>43484</v>
      </c>
      <c r="C279" s="3" t="s">
        <v>626</v>
      </c>
      <c r="D279" s="3" t="s">
        <v>33</v>
      </c>
      <c r="E279" s="3" t="s">
        <v>149</v>
      </c>
      <c r="F279" s="3" t="s">
        <v>155</v>
      </c>
      <c r="G279" s="3" t="s">
        <v>26</v>
      </c>
      <c r="H279" s="4">
        <v>3513</v>
      </c>
      <c r="I279" s="20">
        <v>2263</v>
      </c>
    </row>
    <row r="280" spans="1:9" x14ac:dyDescent="0.25">
      <c r="A280" s="17" t="s">
        <v>627</v>
      </c>
      <c r="B280" s="10">
        <v>43880</v>
      </c>
      <c r="C280" s="1" t="s">
        <v>628</v>
      </c>
      <c r="D280" s="1" t="s">
        <v>48</v>
      </c>
      <c r="E280" s="1" t="s">
        <v>348</v>
      </c>
      <c r="F280" s="1" t="s">
        <v>400</v>
      </c>
      <c r="G280" s="1" t="s">
        <v>26</v>
      </c>
      <c r="H280" s="2">
        <v>4932</v>
      </c>
      <c r="I280" s="19">
        <v>3015</v>
      </c>
    </row>
    <row r="281" spans="1:9" x14ac:dyDescent="0.25">
      <c r="A281" s="18" t="s">
        <v>629</v>
      </c>
      <c r="B281" s="11">
        <v>43880</v>
      </c>
      <c r="C281" s="3" t="s">
        <v>630</v>
      </c>
      <c r="D281" s="3" t="s">
        <v>72</v>
      </c>
      <c r="E281" s="3" t="s">
        <v>73</v>
      </c>
      <c r="F281" s="3" t="s">
        <v>402</v>
      </c>
      <c r="G281" s="3" t="s">
        <v>20</v>
      </c>
      <c r="H281" s="4">
        <v>1993</v>
      </c>
      <c r="I281" s="20">
        <v>1261</v>
      </c>
    </row>
    <row r="282" spans="1:9" x14ac:dyDescent="0.25">
      <c r="A282" s="17" t="s">
        <v>631</v>
      </c>
      <c r="B282" s="10">
        <v>43909</v>
      </c>
      <c r="C282" s="1" t="s">
        <v>632</v>
      </c>
      <c r="D282" s="1" t="s">
        <v>23</v>
      </c>
      <c r="E282" s="1" t="s">
        <v>119</v>
      </c>
      <c r="F282" s="1" t="s">
        <v>119</v>
      </c>
      <c r="G282" s="1" t="s">
        <v>26</v>
      </c>
      <c r="H282" s="2">
        <v>4399</v>
      </c>
      <c r="I282" s="19">
        <v>2262</v>
      </c>
    </row>
    <row r="283" spans="1:9" x14ac:dyDescent="0.25">
      <c r="A283" s="18" t="s">
        <v>633</v>
      </c>
      <c r="B283" s="11">
        <v>43940</v>
      </c>
      <c r="C283" s="3" t="s">
        <v>634</v>
      </c>
      <c r="D283" s="3" t="s">
        <v>91</v>
      </c>
      <c r="E283" s="3" t="s">
        <v>101</v>
      </c>
      <c r="F283" s="3" t="s">
        <v>167</v>
      </c>
      <c r="G283" s="3" t="s">
        <v>26</v>
      </c>
      <c r="H283" s="4">
        <v>4273</v>
      </c>
      <c r="I283" s="20">
        <v>2721</v>
      </c>
    </row>
    <row r="284" spans="1:9" x14ac:dyDescent="0.25">
      <c r="A284" s="17" t="s">
        <v>635</v>
      </c>
      <c r="B284" s="10">
        <v>43239</v>
      </c>
      <c r="C284" s="1" t="s">
        <v>636</v>
      </c>
      <c r="D284" s="1" t="s">
        <v>38</v>
      </c>
      <c r="E284" s="1" t="s">
        <v>179</v>
      </c>
      <c r="F284" s="1" t="s">
        <v>180</v>
      </c>
      <c r="G284" s="1" t="s">
        <v>14</v>
      </c>
      <c r="H284" s="2">
        <v>5351</v>
      </c>
      <c r="I284" s="19">
        <v>2477</v>
      </c>
    </row>
    <row r="285" spans="1:9" x14ac:dyDescent="0.25">
      <c r="A285" s="18" t="s">
        <v>637</v>
      </c>
      <c r="B285" s="11">
        <v>43239</v>
      </c>
      <c r="C285" s="3" t="s">
        <v>638</v>
      </c>
      <c r="D285" s="3" t="s">
        <v>91</v>
      </c>
      <c r="E285" s="3" t="s">
        <v>115</v>
      </c>
      <c r="F285" s="3" t="s">
        <v>116</v>
      </c>
      <c r="G285" s="3" t="s">
        <v>26</v>
      </c>
      <c r="H285" s="4">
        <v>1894</v>
      </c>
      <c r="I285" s="20">
        <v>1071</v>
      </c>
    </row>
    <row r="286" spans="1:9" x14ac:dyDescent="0.25">
      <c r="A286" s="17" t="s">
        <v>639</v>
      </c>
      <c r="B286" s="10">
        <v>43635</v>
      </c>
      <c r="C286" s="1" t="s">
        <v>640</v>
      </c>
      <c r="D286" s="1" t="s">
        <v>72</v>
      </c>
      <c r="E286" s="1" t="s">
        <v>79</v>
      </c>
      <c r="F286" s="1" t="s">
        <v>176</v>
      </c>
      <c r="G286" s="1" t="s">
        <v>20</v>
      </c>
      <c r="H286" s="2">
        <v>5059</v>
      </c>
      <c r="I286" s="19">
        <v>2801</v>
      </c>
    </row>
    <row r="287" spans="1:9" x14ac:dyDescent="0.25">
      <c r="A287" s="18" t="s">
        <v>641</v>
      </c>
      <c r="B287" s="11">
        <v>43635</v>
      </c>
      <c r="C287" s="3" t="s">
        <v>555</v>
      </c>
      <c r="D287" s="3" t="s">
        <v>48</v>
      </c>
      <c r="E287" s="3" t="s">
        <v>348</v>
      </c>
      <c r="F287" s="3" t="s">
        <v>400</v>
      </c>
      <c r="G287" s="3" t="s">
        <v>26</v>
      </c>
      <c r="H287" s="4">
        <v>3727</v>
      </c>
      <c r="I287" s="20">
        <v>1938</v>
      </c>
    </row>
    <row r="288" spans="1:9" x14ac:dyDescent="0.25">
      <c r="A288" s="17" t="s">
        <v>642</v>
      </c>
      <c r="B288" s="10">
        <v>43331</v>
      </c>
      <c r="C288" s="1" t="s">
        <v>76</v>
      </c>
      <c r="D288" s="1" t="s">
        <v>43</v>
      </c>
      <c r="E288" s="1" t="s">
        <v>83</v>
      </c>
      <c r="F288" s="1" t="s">
        <v>84</v>
      </c>
      <c r="G288" s="1" t="s">
        <v>14</v>
      </c>
      <c r="H288" s="2">
        <v>2327</v>
      </c>
      <c r="I288" s="19">
        <v>1595</v>
      </c>
    </row>
    <row r="289" spans="1:9" x14ac:dyDescent="0.25">
      <c r="A289" s="18" t="s">
        <v>643</v>
      </c>
      <c r="B289" s="11">
        <v>43423</v>
      </c>
      <c r="C289" s="3" t="s">
        <v>644</v>
      </c>
      <c r="D289" s="3" t="s">
        <v>33</v>
      </c>
      <c r="E289" s="3" t="s">
        <v>34</v>
      </c>
      <c r="F289" s="3" t="s">
        <v>135</v>
      </c>
      <c r="G289" s="3" t="s">
        <v>26</v>
      </c>
      <c r="H289" s="4">
        <v>4423</v>
      </c>
      <c r="I289" s="20">
        <v>2286</v>
      </c>
    </row>
    <row r="290" spans="1:9" x14ac:dyDescent="0.25">
      <c r="A290" s="17" t="s">
        <v>645</v>
      </c>
      <c r="B290" s="10">
        <v>44184</v>
      </c>
      <c r="C290" s="1" t="s">
        <v>646</v>
      </c>
      <c r="D290" s="1" t="s">
        <v>38</v>
      </c>
      <c r="E290" s="1" t="s">
        <v>39</v>
      </c>
      <c r="F290" s="1" t="s">
        <v>40</v>
      </c>
      <c r="G290" s="1" t="s">
        <v>14</v>
      </c>
      <c r="H290" s="2">
        <v>2600</v>
      </c>
      <c r="I290" s="19">
        <v>1376</v>
      </c>
    </row>
    <row r="291" spans="1:9" x14ac:dyDescent="0.25">
      <c r="A291" s="18" t="s">
        <v>647</v>
      </c>
      <c r="B291" s="11">
        <v>43850</v>
      </c>
      <c r="C291" s="3" t="s">
        <v>648</v>
      </c>
      <c r="D291" s="3" t="s">
        <v>72</v>
      </c>
      <c r="E291" s="3" t="s">
        <v>172</v>
      </c>
      <c r="F291" s="3" t="s">
        <v>173</v>
      </c>
      <c r="G291" s="3" t="s">
        <v>20</v>
      </c>
      <c r="H291" s="4">
        <v>5447</v>
      </c>
      <c r="I291" s="20">
        <v>4031</v>
      </c>
    </row>
    <row r="292" spans="1:9" x14ac:dyDescent="0.25">
      <c r="A292" s="17" t="s">
        <v>649</v>
      </c>
      <c r="B292" s="10">
        <v>43850</v>
      </c>
      <c r="C292" s="1" t="s">
        <v>650</v>
      </c>
      <c r="D292" s="1" t="s">
        <v>48</v>
      </c>
      <c r="E292" s="1" t="s">
        <v>49</v>
      </c>
      <c r="F292" s="1" t="s">
        <v>105</v>
      </c>
      <c r="G292" s="1" t="s">
        <v>26</v>
      </c>
      <c r="H292" s="2">
        <v>1919</v>
      </c>
      <c r="I292" s="19">
        <v>1191</v>
      </c>
    </row>
    <row r="293" spans="1:9" x14ac:dyDescent="0.25">
      <c r="A293" s="18" t="s">
        <v>651</v>
      </c>
      <c r="B293" s="11">
        <v>43516</v>
      </c>
      <c r="C293" s="3" t="s">
        <v>345</v>
      </c>
      <c r="D293" s="3" t="s">
        <v>91</v>
      </c>
      <c r="E293" s="3" t="s">
        <v>92</v>
      </c>
      <c r="F293" s="3" t="s">
        <v>411</v>
      </c>
      <c r="G293" s="3" t="s">
        <v>26</v>
      </c>
      <c r="H293" s="4">
        <v>2846</v>
      </c>
      <c r="I293" s="20">
        <v>1664</v>
      </c>
    </row>
    <row r="294" spans="1:9" x14ac:dyDescent="0.25">
      <c r="A294" s="17" t="s">
        <v>652</v>
      </c>
      <c r="B294" s="10">
        <v>43881</v>
      </c>
      <c r="C294" s="1" t="s">
        <v>653</v>
      </c>
      <c r="D294" s="1" t="s">
        <v>43</v>
      </c>
      <c r="E294" s="1" t="s">
        <v>44</v>
      </c>
      <c r="F294" s="1" t="s">
        <v>60</v>
      </c>
      <c r="G294" s="1" t="s">
        <v>14</v>
      </c>
      <c r="H294" s="2">
        <v>2534</v>
      </c>
      <c r="I294" s="19">
        <v>1522</v>
      </c>
    </row>
    <row r="295" spans="1:9" x14ac:dyDescent="0.25">
      <c r="A295" s="18" t="s">
        <v>654</v>
      </c>
      <c r="B295" s="11">
        <v>43971</v>
      </c>
      <c r="C295" s="3" t="s">
        <v>655</v>
      </c>
      <c r="D295" s="3" t="s">
        <v>17</v>
      </c>
      <c r="E295" s="3" t="s">
        <v>145</v>
      </c>
      <c r="F295" s="3" t="s">
        <v>203</v>
      </c>
      <c r="G295" s="3" t="s">
        <v>20</v>
      </c>
      <c r="H295" s="4">
        <v>5184</v>
      </c>
      <c r="I295" s="20">
        <v>2741</v>
      </c>
    </row>
    <row r="296" spans="1:9" x14ac:dyDescent="0.25">
      <c r="A296" s="17" t="s">
        <v>656</v>
      </c>
      <c r="B296" s="10">
        <v>44032</v>
      </c>
      <c r="C296" s="1" t="s">
        <v>657</v>
      </c>
      <c r="D296" s="1" t="s">
        <v>38</v>
      </c>
      <c r="E296" s="1" t="s">
        <v>39</v>
      </c>
      <c r="F296" s="1" t="s">
        <v>40</v>
      </c>
      <c r="G296" s="1" t="s">
        <v>14</v>
      </c>
      <c r="H296" s="2">
        <v>3055</v>
      </c>
      <c r="I296" s="19">
        <v>1646</v>
      </c>
    </row>
    <row r="297" spans="1:9" x14ac:dyDescent="0.25">
      <c r="A297" s="18" t="s">
        <v>658</v>
      </c>
      <c r="B297" s="11">
        <v>43332</v>
      </c>
      <c r="C297" s="3" t="s">
        <v>343</v>
      </c>
      <c r="D297" s="3" t="s">
        <v>72</v>
      </c>
      <c r="E297" s="3" t="s">
        <v>87</v>
      </c>
      <c r="F297" s="3" t="s">
        <v>88</v>
      </c>
      <c r="G297" s="3" t="s">
        <v>20</v>
      </c>
      <c r="H297" s="4">
        <v>5115</v>
      </c>
      <c r="I297" s="20">
        <v>3140</v>
      </c>
    </row>
    <row r="298" spans="1:9" x14ac:dyDescent="0.25">
      <c r="A298" s="17" t="s">
        <v>659</v>
      </c>
      <c r="B298" s="10">
        <v>43728</v>
      </c>
      <c r="C298" s="1" t="s">
        <v>660</v>
      </c>
      <c r="D298" s="1" t="s">
        <v>48</v>
      </c>
      <c r="E298" s="1" t="s">
        <v>348</v>
      </c>
      <c r="F298" s="1" t="s">
        <v>400</v>
      </c>
      <c r="G298" s="1" t="s">
        <v>26</v>
      </c>
      <c r="H298" s="2">
        <v>4985</v>
      </c>
      <c r="I298" s="19">
        <v>3733</v>
      </c>
    </row>
    <row r="299" spans="1:9" x14ac:dyDescent="0.25">
      <c r="A299" s="18" t="s">
        <v>661</v>
      </c>
      <c r="B299" s="11">
        <v>43728</v>
      </c>
      <c r="C299" s="3" t="s">
        <v>32</v>
      </c>
      <c r="D299" s="3" t="s">
        <v>23</v>
      </c>
      <c r="E299" s="3" t="s">
        <v>24</v>
      </c>
      <c r="F299" s="3" t="s">
        <v>25</v>
      </c>
      <c r="G299" s="3" t="s">
        <v>26</v>
      </c>
      <c r="H299" s="4">
        <v>4379</v>
      </c>
      <c r="I299" s="20">
        <v>2557</v>
      </c>
    </row>
    <row r="300" spans="1:9" x14ac:dyDescent="0.25">
      <c r="A300" s="17" t="s">
        <v>662</v>
      </c>
      <c r="B300" s="10">
        <v>44124</v>
      </c>
      <c r="C300" s="1" t="s">
        <v>663</v>
      </c>
      <c r="D300" s="1" t="s">
        <v>29</v>
      </c>
      <c r="E300" s="1" t="s">
        <v>30</v>
      </c>
      <c r="F300" s="1" t="s">
        <v>30</v>
      </c>
      <c r="G300" s="1" t="s">
        <v>26</v>
      </c>
      <c r="H300" s="2">
        <v>3886</v>
      </c>
      <c r="I300" s="19">
        <v>2249</v>
      </c>
    </row>
    <row r="301" spans="1:9" x14ac:dyDescent="0.25">
      <c r="A301" s="18" t="s">
        <v>664</v>
      </c>
      <c r="B301" s="11">
        <v>44124</v>
      </c>
      <c r="C301" s="3" t="s">
        <v>665</v>
      </c>
      <c r="D301" s="3" t="s">
        <v>48</v>
      </c>
      <c r="E301" s="3" t="s">
        <v>49</v>
      </c>
      <c r="F301" s="3" t="s">
        <v>105</v>
      </c>
      <c r="G301" s="3" t="s">
        <v>26</v>
      </c>
      <c r="H301" s="4">
        <v>2342</v>
      </c>
      <c r="I301" s="20">
        <v>1682</v>
      </c>
    </row>
    <row r="302" spans="1:9" x14ac:dyDescent="0.25">
      <c r="A302" s="17" t="s">
        <v>666</v>
      </c>
      <c r="B302" s="10">
        <v>43424</v>
      </c>
      <c r="C302" s="1" t="s">
        <v>667</v>
      </c>
      <c r="D302" s="1" t="s">
        <v>33</v>
      </c>
      <c r="E302" s="1" t="s">
        <v>34</v>
      </c>
      <c r="F302" s="1" t="s">
        <v>135</v>
      </c>
      <c r="G302" s="1" t="s">
        <v>26</v>
      </c>
      <c r="H302" s="2">
        <v>3853</v>
      </c>
      <c r="I302" s="19">
        <v>2105</v>
      </c>
    </row>
    <row r="303" spans="1:9" x14ac:dyDescent="0.25">
      <c r="A303" s="18" t="s">
        <v>668</v>
      </c>
      <c r="B303" s="11">
        <v>43789</v>
      </c>
      <c r="C303" s="3" t="s">
        <v>669</v>
      </c>
      <c r="D303" s="3" t="s">
        <v>48</v>
      </c>
      <c r="E303" s="3" t="s">
        <v>348</v>
      </c>
      <c r="F303" s="3" t="s">
        <v>400</v>
      </c>
      <c r="G303" s="3" t="s">
        <v>26</v>
      </c>
      <c r="H303" s="4">
        <v>3947</v>
      </c>
      <c r="I303" s="20">
        <v>1999</v>
      </c>
    </row>
    <row r="304" spans="1:9" x14ac:dyDescent="0.25">
      <c r="A304" s="17" t="s">
        <v>670</v>
      </c>
      <c r="B304" s="10">
        <v>44155</v>
      </c>
      <c r="C304" s="1" t="s">
        <v>671</v>
      </c>
      <c r="D304" s="1" t="s">
        <v>48</v>
      </c>
      <c r="E304" s="1" t="s">
        <v>49</v>
      </c>
      <c r="F304" s="1" t="s">
        <v>105</v>
      </c>
      <c r="G304" s="1" t="s">
        <v>26</v>
      </c>
      <c r="H304" s="2">
        <v>2503</v>
      </c>
      <c r="I304" s="19">
        <v>1327</v>
      </c>
    </row>
    <row r="305" spans="1:9" x14ac:dyDescent="0.25">
      <c r="A305" s="18" t="s">
        <v>672</v>
      </c>
      <c r="B305" s="11">
        <v>43486</v>
      </c>
      <c r="C305" s="3" t="s">
        <v>673</v>
      </c>
      <c r="D305" s="3" t="s">
        <v>33</v>
      </c>
      <c r="E305" s="3" t="s">
        <v>149</v>
      </c>
      <c r="F305" s="3" t="s">
        <v>155</v>
      </c>
      <c r="G305" s="3" t="s">
        <v>26</v>
      </c>
      <c r="H305" s="4">
        <v>5190</v>
      </c>
      <c r="I305" s="20">
        <v>2496</v>
      </c>
    </row>
    <row r="306" spans="1:9" x14ac:dyDescent="0.25">
      <c r="A306" s="17" t="s">
        <v>674</v>
      </c>
      <c r="B306" s="10">
        <v>43851</v>
      </c>
      <c r="C306" s="1" t="s">
        <v>675</v>
      </c>
      <c r="D306" s="1" t="s">
        <v>11</v>
      </c>
      <c r="E306" s="1" t="s">
        <v>12</v>
      </c>
      <c r="F306" s="1" t="s">
        <v>12</v>
      </c>
      <c r="G306" s="1" t="s">
        <v>14</v>
      </c>
      <c r="H306" s="2">
        <v>5185</v>
      </c>
      <c r="I306" s="19">
        <v>3809</v>
      </c>
    </row>
    <row r="307" spans="1:9" x14ac:dyDescent="0.25">
      <c r="A307" s="18" t="s">
        <v>676</v>
      </c>
      <c r="B307" s="11">
        <v>43517</v>
      </c>
      <c r="C307" s="3" t="s">
        <v>677</v>
      </c>
      <c r="D307" s="3" t="s">
        <v>72</v>
      </c>
      <c r="E307" s="3" t="s">
        <v>73</v>
      </c>
      <c r="F307" s="3" t="s">
        <v>402</v>
      </c>
      <c r="G307" s="3" t="s">
        <v>20</v>
      </c>
      <c r="H307" s="4">
        <v>1916</v>
      </c>
      <c r="I307" s="20">
        <v>915</v>
      </c>
    </row>
    <row r="308" spans="1:9" x14ac:dyDescent="0.25">
      <c r="A308" s="17" t="s">
        <v>678</v>
      </c>
      <c r="B308" s="10">
        <v>43882</v>
      </c>
      <c r="C308" s="1" t="s">
        <v>679</v>
      </c>
      <c r="D308" s="1" t="s">
        <v>23</v>
      </c>
      <c r="E308" s="1" t="s">
        <v>24</v>
      </c>
      <c r="F308" s="1" t="s">
        <v>138</v>
      </c>
      <c r="G308" s="1" t="s">
        <v>26</v>
      </c>
      <c r="H308" s="2">
        <v>2625</v>
      </c>
      <c r="I308" s="19">
        <v>1962</v>
      </c>
    </row>
    <row r="309" spans="1:9" x14ac:dyDescent="0.25">
      <c r="A309" s="18" t="s">
        <v>680</v>
      </c>
      <c r="B309" s="11">
        <v>43180</v>
      </c>
      <c r="C309" s="3" t="s">
        <v>681</v>
      </c>
      <c r="D309" s="3" t="s">
        <v>17</v>
      </c>
      <c r="E309" s="3" t="s">
        <v>145</v>
      </c>
      <c r="F309" s="3" t="s">
        <v>146</v>
      </c>
      <c r="G309" s="3" t="s">
        <v>20</v>
      </c>
      <c r="H309" s="4">
        <v>4000</v>
      </c>
      <c r="I309" s="20">
        <v>2784</v>
      </c>
    </row>
    <row r="310" spans="1:9" x14ac:dyDescent="0.25">
      <c r="A310" s="17" t="s">
        <v>682</v>
      </c>
      <c r="B310" s="10">
        <v>43180</v>
      </c>
      <c r="C310" s="1" t="s">
        <v>683</v>
      </c>
      <c r="D310" s="1" t="s">
        <v>48</v>
      </c>
      <c r="E310" s="1" t="s">
        <v>348</v>
      </c>
      <c r="F310" s="1" t="s">
        <v>400</v>
      </c>
      <c r="G310" s="1" t="s">
        <v>26</v>
      </c>
      <c r="H310" s="2">
        <v>2720</v>
      </c>
      <c r="I310" s="19">
        <v>1718</v>
      </c>
    </row>
    <row r="311" spans="1:9" x14ac:dyDescent="0.25">
      <c r="A311" s="18" t="s">
        <v>684</v>
      </c>
      <c r="B311" s="11">
        <v>43911</v>
      </c>
      <c r="C311" s="3" t="s">
        <v>62</v>
      </c>
      <c r="D311" s="3" t="s">
        <v>23</v>
      </c>
      <c r="E311" s="3" t="s">
        <v>119</v>
      </c>
      <c r="F311" s="3" t="s">
        <v>119</v>
      </c>
      <c r="G311" s="3" t="s">
        <v>26</v>
      </c>
      <c r="H311" s="4">
        <v>4242</v>
      </c>
      <c r="I311" s="20">
        <v>2456</v>
      </c>
    </row>
    <row r="312" spans="1:9" x14ac:dyDescent="0.25">
      <c r="A312" s="17" t="s">
        <v>685</v>
      </c>
      <c r="B312" s="10">
        <v>43211</v>
      </c>
      <c r="C312" s="1" t="s">
        <v>686</v>
      </c>
      <c r="D312" s="1" t="s">
        <v>91</v>
      </c>
      <c r="E312" s="1" t="s">
        <v>92</v>
      </c>
      <c r="F312" s="1" t="s">
        <v>93</v>
      </c>
      <c r="G312" s="1" t="s">
        <v>26</v>
      </c>
      <c r="H312" s="2">
        <v>4279</v>
      </c>
      <c r="I312" s="19">
        <v>2953</v>
      </c>
    </row>
    <row r="313" spans="1:9" x14ac:dyDescent="0.25">
      <c r="A313" s="18" t="s">
        <v>687</v>
      </c>
      <c r="B313" s="11">
        <v>43241</v>
      </c>
      <c r="C313" s="3" t="s">
        <v>688</v>
      </c>
      <c r="D313" s="3" t="s">
        <v>72</v>
      </c>
      <c r="E313" s="3" t="s">
        <v>172</v>
      </c>
      <c r="F313" s="3" t="s">
        <v>173</v>
      </c>
      <c r="G313" s="3" t="s">
        <v>20</v>
      </c>
      <c r="H313" s="4">
        <v>5950</v>
      </c>
      <c r="I313" s="20">
        <v>3933</v>
      </c>
    </row>
    <row r="314" spans="1:9" x14ac:dyDescent="0.25">
      <c r="A314" s="17" t="s">
        <v>689</v>
      </c>
      <c r="B314" s="10">
        <v>43241</v>
      </c>
      <c r="C314" s="1" t="s">
        <v>690</v>
      </c>
      <c r="D314" s="1" t="s">
        <v>29</v>
      </c>
      <c r="E314" s="1" t="s">
        <v>30</v>
      </c>
      <c r="F314" s="1" t="s">
        <v>30</v>
      </c>
      <c r="G314" s="1" t="s">
        <v>26</v>
      </c>
      <c r="H314" s="2">
        <v>3133</v>
      </c>
      <c r="I314" s="19">
        <v>2198</v>
      </c>
    </row>
    <row r="315" spans="1:9" x14ac:dyDescent="0.25">
      <c r="A315" s="18" t="s">
        <v>691</v>
      </c>
      <c r="B315" s="11">
        <v>43606</v>
      </c>
      <c r="C315" s="3" t="s">
        <v>305</v>
      </c>
      <c r="D315" s="3" t="s">
        <v>38</v>
      </c>
      <c r="E315" s="3" t="s">
        <v>39</v>
      </c>
      <c r="F315" s="3" t="s">
        <v>132</v>
      </c>
      <c r="G315" s="3" t="s">
        <v>14</v>
      </c>
      <c r="H315" s="4">
        <v>4771</v>
      </c>
      <c r="I315" s="20">
        <v>2665</v>
      </c>
    </row>
    <row r="316" spans="1:9" x14ac:dyDescent="0.25">
      <c r="A316" s="17" t="s">
        <v>692</v>
      </c>
      <c r="B316" s="10">
        <v>44003</v>
      </c>
      <c r="C316" s="1" t="s">
        <v>693</v>
      </c>
      <c r="D316" s="1" t="s">
        <v>29</v>
      </c>
      <c r="E316" s="1" t="s">
        <v>30</v>
      </c>
      <c r="F316" s="1" t="s">
        <v>30</v>
      </c>
      <c r="G316" s="1" t="s">
        <v>26</v>
      </c>
      <c r="H316" s="2">
        <v>2434</v>
      </c>
      <c r="I316" s="19">
        <v>1695</v>
      </c>
    </row>
    <row r="317" spans="1:9" x14ac:dyDescent="0.25">
      <c r="A317" s="18" t="s">
        <v>694</v>
      </c>
      <c r="B317" s="11">
        <v>43667</v>
      </c>
      <c r="C317" s="3" t="s">
        <v>695</v>
      </c>
      <c r="D317" s="3" t="s">
        <v>38</v>
      </c>
      <c r="E317" s="3" t="s">
        <v>39</v>
      </c>
      <c r="F317" s="3" t="s">
        <v>40</v>
      </c>
      <c r="G317" s="3" t="s">
        <v>14</v>
      </c>
      <c r="H317" s="4">
        <v>3090</v>
      </c>
      <c r="I317" s="20">
        <v>1665</v>
      </c>
    </row>
    <row r="318" spans="1:9" x14ac:dyDescent="0.25">
      <c r="A318" s="17" t="s">
        <v>696</v>
      </c>
      <c r="B318" s="10">
        <v>43333</v>
      </c>
      <c r="C318" s="1" t="s">
        <v>697</v>
      </c>
      <c r="D318" s="1" t="s">
        <v>43</v>
      </c>
      <c r="E318" s="1" t="s">
        <v>44</v>
      </c>
      <c r="F318" s="1" t="s">
        <v>45</v>
      </c>
      <c r="G318" s="1" t="s">
        <v>14</v>
      </c>
      <c r="H318" s="2">
        <v>5668</v>
      </c>
      <c r="I318" s="19">
        <v>3750</v>
      </c>
    </row>
    <row r="319" spans="1:9" x14ac:dyDescent="0.25">
      <c r="A319" s="18" t="s">
        <v>698</v>
      </c>
      <c r="B319" s="11">
        <v>44064</v>
      </c>
      <c r="C319" s="3" t="s">
        <v>699</v>
      </c>
      <c r="D319" s="3" t="s">
        <v>29</v>
      </c>
      <c r="E319" s="3" t="s">
        <v>30</v>
      </c>
      <c r="F319" s="3" t="s">
        <v>30</v>
      </c>
      <c r="G319" s="3" t="s">
        <v>26</v>
      </c>
      <c r="H319" s="4">
        <v>2597</v>
      </c>
      <c r="I319" s="20">
        <v>1856</v>
      </c>
    </row>
    <row r="320" spans="1:9" x14ac:dyDescent="0.25">
      <c r="A320" s="17" t="s">
        <v>700</v>
      </c>
      <c r="B320" s="10">
        <v>44064</v>
      </c>
      <c r="C320" s="1" t="s">
        <v>701</v>
      </c>
      <c r="D320" s="1" t="s">
        <v>11</v>
      </c>
      <c r="E320" s="1" t="s">
        <v>12</v>
      </c>
      <c r="F320" s="1" t="s">
        <v>13</v>
      </c>
      <c r="G320" s="1" t="s">
        <v>14</v>
      </c>
      <c r="H320" s="2">
        <v>3093</v>
      </c>
      <c r="I320" s="19">
        <v>1856</v>
      </c>
    </row>
    <row r="321" spans="1:9" x14ac:dyDescent="0.25">
      <c r="A321" s="18" t="s">
        <v>702</v>
      </c>
      <c r="B321" s="11">
        <v>43729</v>
      </c>
      <c r="C321" s="3" t="s">
        <v>157</v>
      </c>
      <c r="D321" s="3" t="s">
        <v>48</v>
      </c>
      <c r="E321" s="3" t="s">
        <v>348</v>
      </c>
      <c r="F321" s="3" t="s">
        <v>400</v>
      </c>
      <c r="G321" s="3" t="s">
        <v>26</v>
      </c>
      <c r="H321" s="4">
        <v>5299</v>
      </c>
      <c r="I321" s="20">
        <v>3737</v>
      </c>
    </row>
    <row r="322" spans="1:9" x14ac:dyDescent="0.25">
      <c r="A322" s="17" t="s">
        <v>703</v>
      </c>
      <c r="B322" s="10">
        <v>44095</v>
      </c>
      <c r="C322" s="1" t="s">
        <v>559</v>
      </c>
      <c r="D322" s="1" t="s">
        <v>43</v>
      </c>
      <c r="E322" s="1" t="s">
        <v>44</v>
      </c>
      <c r="F322" s="1" t="s">
        <v>60</v>
      </c>
      <c r="G322" s="1" t="s">
        <v>14</v>
      </c>
      <c r="H322" s="2">
        <v>5374</v>
      </c>
      <c r="I322" s="19">
        <v>3720</v>
      </c>
    </row>
    <row r="323" spans="1:9" x14ac:dyDescent="0.25">
      <c r="A323" s="18" t="s">
        <v>704</v>
      </c>
      <c r="B323" s="11">
        <v>43394</v>
      </c>
      <c r="C323" s="3" t="s">
        <v>524</v>
      </c>
      <c r="D323" s="3" t="s">
        <v>23</v>
      </c>
      <c r="E323" s="3" t="s">
        <v>24</v>
      </c>
      <c r="F323" s="3" t="s">
        <v>138</v>
      </c>
      <c r="G323" s="3" t="s">
        <v>26</v>
      </c>
      <c r="H323" s="4">
        <v>1751</v>
      </c>
      <c r="I323" s="20">
        <v>836</v>
      </c>
    </row>
    <row r="324" spans="1:9" x14ac:dyDescent="0.25">
      <c r="A324" s="17" t="s">
        <v>705</v>
      </c>
      <c r="B324" s="10">
        <v>43790</v>
      </c>
      <c r="C324" s="1" t="s">
        <v>706</v>
      </c>
      <c r="D324" s="1" t="s">
        <v>23</v>
      </c>
      <c r="E324" s="1" t="s">
        <v>24</v>
      </c>
      <c r="F324" s="1" t="s">
        <v>25</v>
      </c>
      <c r="G324" s="1" t="s">
        <v>26</v>
      </c>
      <c r="H324" s="2">
        <v>4317</v>
      </c>
      <c r="I324" s="19">
        <v>2724</v>
      </c>
    </row>
    <row r="325" spans="1:9" x14ac:dyDescent="0.25">
      <c r="A325" s="18" t="s">
        <v>707</v>
      </c>
      <c r="B325" s="11">
        <v>44156</v>
      </c>
      <c r="C325" s="3" t="s">
        <v>708</v>
      </c>
      <c r="D325" s="3" t="s">
        <v>11</v>
      </c>
      <c r="E325" s="3" t="s">
        <v>128</v>
      </c>
      <c r="F325" s="3" t="s">
        <v>129</v>
      </c>
      <c r="G325" s="3" t="s">
        <v>14</v>
      </c>
      <c r="H325" s="4">
        <v>4719</v>
      </c>
      <c r="I325" s="20">
        <v>3525</v>
      </c>
    </row>
    <row r="326" spans="1:9" x14ac:dyDescent="0.25">
      <c r="A326" s="17" t="s">
        <v>709</v>
      </c>
      <c r="B326" s="10">
        <v>44156</v>
      </c>
      <c r="C326" s="1" t="s">
        <v>710</v>
      </c>
      <c r="D326" s="1" t="s">
        <v>23</v>
      </c>
      <c r="E326" s="1" t="s">
        <v>24</v>
      </c>
      <c r="F326" s="1" t="s">
        <v>138</v>
      </c>
      <c r="G326" s="1" t="s">
        <v>26</v>
      </c>
      <c r="H326" s="2">
        <v>2651</v>
      </c>
      <c r="I326" s="19">
        <v>1572</v>
      </c>
    </row>
    <row r="327" spans="1:9" x14ac:dyDescent="0.25">
      <c r="A327" s="18" t="s">
        <v>711</v>
      </c>
      <c r="B327" s="11">
        <v>43455</v>
      </c>
      <c r="C327" s="3" t="s">
        <v>712</v>
      </c>
      <c r="D327" s="3" t="s">
        <v>33</v>
      </c>
      <c r="E327" s="3" t="s">
        <v>34</v>
      </c>
      <c r="F327" s="3" t="s">
        <v>135</v>
      </c>
      <c r="G327" s="3" t="s">
        <v>26</v>
      </c>
      <c r="H327" s="4">
        <v>3032</v>
      </c>
      <c r="I327" s="20">
        <v>1650</v>
      </c>
    </row>
    <row r="328" spans="1:9" x14ac:dyDescent="0.25">
      <c r="A328" s="17" t="s">
        <v>713</v>
      </c>
      <c r="B328" s="10">
        <v>44186</v>
      </c>
      <c r="C328" s="1" t="s">
        <v>714</v>
      </c>
      <c r="D328" s="1" t="s">
        <v>17</v>
      </c>
      <c r="E328" s="1" t="s">
        <v>145</v>
      </c>
      <c r="F328" s="1" t="s">
        <v>203</v>
      </c>
      <c r="G328" s="1" t="s">
        <v>20</v>
      </c>
      <c r="H328" s="2">
        <v>4205</v>
      </c>
      <c r="I328" s="19">
        <v>2708</v>
      </c>
    </row>
    <row r="329" spans="1:9" x14ac:dyDescent="0.25">
      <c r="A329" s="18" t="s">
        <v>715</v>
      </c>
      <c r="B329" s="11">
        <v>43487</v>
      </c>
      <c r="C329" s="3" t="s">
        <v>211</v>
      </c>
      <c r="D329" s="3" t="s">
        <v>29</v>
      </c>
      <c r="E329" s="3" t="s">
        <v>30</v>
      </c>
      <c r="F329" s="3" t="s">
        <v>30</v>
      </c>
      <c r="G329" s="3" t="s">
        <v>26</v>
      </c>
      <c r="H329" s="4">
        <v>3471</v>
      </c>
      <c r="I329" s="20">
        <v>1776</v>
      </c>
    </row>
    <row r="330" spans="1:9" x14ac:dyDescent="0.25">
      <c r="A330" s="17" t="s">
        <v>716</v>
      </c>
      <c r="B330" s="10">
        <v>43153</v>
      </c>
      <c r="C330" s="1" t="s">
        <v>717</v>
      </c>
      <c r="D330" s="1" t="s">
        <v>23</v>
      </c>
      <c r="E330" s="1" t="s">
        <v>119</v>
      </c>
      <c r="F330" s="1" t="s">
        <v>119</v>
      </c>
      <c r="G330" s="1" t="s">
        <v>26</v>
      </c>
      <c r="H330" s="2">
        <v>2122</v>
      </c>
      <c r="I330" s="19">
        <v>1331</v>
      </c>
    </row>
    <row r="331" spans="1:9" x14ac:dyDescent="0.25">
      <c r="A331" s="18" t="s">
        <v>718</v>
      </c>
      <c r="B331" s="11">
        <v>43181</v>
      </c>
      <c r="C331" s="3" t="s">
        <v>719</v>
      </c>
      <c r="D331" s="3" t="s">
        <v>11</v>
      </c>
      <c r="E331" s="3" t="s">
        <v>12</v>
      </c>
      <c r="F331" s="3" t="s">
        <v>13</v>
      </c>
      <c r="G331" s="3" t="s">
        <v>14</v>
      </c>
      <c r="H331" s="4">
        <v>3211</v>
      </c>
      <c r="I331" s="20">
        <v>2282</v>
      </c>
    </row>
    <row r="332" spans="1:9" x14ac:dyDescent="0.25">
      <c r="A332" s="17" t="s">
        <v>720</v>
      </c>
      <c r="B332" s="10">
        <v>43212</v>
      </c>
      <c r="C332" s="1" t="s">
        <v>721</v>
      </c>
      <c r="D332" s="1" t="s">
        <v>23</v>
      </c>
      <c r="E332" s="1" t="s">
        <v>24</v>
      </c>
      <c r="F332" s="1" t="s">
        <v>138</v>
      </c>
      <c r="G332" s="1" t="s">
        <v>26</v>
      </c>
      <c r="H332" s="2">
        <v>5592</v>
      </c>
      <c r="I332" s="19">
        <v>3586</v>
      </c>
    </row>
    <row r="333" spans="1:9" x14ac:dyDescent="0.25">
      <c r="A333" s="18" t="s">
        <v>722</v>
      </c>
      <c r="B333" s="11">
        <v>43943</v>
      </c>
      <c r="C333" s="3" t="s">
        <v>723</v>
      </c>
      <c r="D333" s="3" t="s">
        <v>38</v>
      </c>
      <c r="E333" s="3" t="s">
        <v>39</v>
      </c>
      <c r="F333" s="3" t="s">
        <v>132</v>
      </c>
      <c r="G333" s="3" t="s">
        <v>14</v>
      </c>
      <c r="H333" s="4">
        <v>1640</v>
      </c>
      <c r="I333" s="20">
        <v>985</v>
      </c>
    </row>
    <row r="334" spans="1:9" x14ac:dyDescent="0.25">
      <c r="A334" s="17" t="s">
        <v>724</v>
      </c>
      <c r="B334" s="10">
        <v>43242</v>
      </c>
      <c r="C334" s="1" t="s">
        <v>725</v>
      </c>
      <c r="D334" s="1" t="s">
        <v>43</v>
      </c>
      <c r="E334" s="1" t="s">
        <v>83</v>
      </c>
      <c r="F334" s="1" t="s">
        <v>160</v>
      </c>
      <c r="G334" s="1" t="s">
        <v>14</v>
      </c>
      <c r="H334" s="2">
        <v>2852</v>
      </c>
      <c r="I334" s="19">
        <v>1510</v>
      </c>
    </row>
    <row r="335" spans="1:9" x14ac:dyDescent="0.25">
      <c r="A335" s="18" t="s">
        <v>726</v>
      </c>
      <c r="B335" s="11">
        <v>43607</v>
      </c>
      <c r="C335" s="3" t="s">
        <v>727</v>
      </c>
      <c r="D335" s="3" t="s">
        <v>38</v>
      </c>
      <c r="E335" s="3" t="s">
        <v>39</v>
      </c>
      <c r="F335" s="3" t="s">
        <v>40</v>
      </c>
      <c r="G335" s="3" t="s">
        <v>14</v>
      </c>
      <c r="H335" s="4">
        <v>3749</v>
      </c>
      <c r="I335" s="20">
        <v>2181</v>
      </c>
    </row>
    <row r="336" spans="1:9" x14ac:dyDescent="0.25">
      <c r="A336" s="17" t="s">
        <v>728</v>
      </c>
      <c r="B336" s="10">
        <v>44004</v>
      </c>
      <c r="C336" s="1" t="s">
        <v>729</v>
      </c>
      <c r="D336" s="1" t="s">
        <v>43</v>
      </c>
      <c r="E336" s="1" t="s">
        <v>44</v>
      </c>
      <c r="F336" s="1" t="s">
        <v>60</v>
      </c>
      <c r="G336" s="1" t="s">
        <v>14</v>
      </c>
      <c r="H336" s="2">
        <v>4861</v>
      </c>
      <c r="I336" s="19">
        <v>2919</v>
      </c>
    </row>
    <row r="337" spans="1:9" x14ac:dyDescent="0.25">
      <c r="A337" s="18" t="s">
        <v>730</v>
      </c>
      <c r="B337" s="11">
        <v>43334</v>
      </c>
      <c r="C337" s="3" t="s">
        <v>731</v>
      </c>
      <c r="D337" s="3" t="s">
        <v>33</v>
      </c>
      <c r="E337" s="3" t="s">
        <v>34</v>
      </c>
      <c r="F337" s="3" t="s">
        <v>35</v>
      </c>
      <c r="G337" s="3" t="s">
        <v>26</v>
      </c>
      <c r="H337" s="4">
        <v>4715</v>
      </c>
      <c r="I337" s="20">
        <v>2952</v>
      </c>
    </row>
    <row r="338" spans="1:9" x14ac:dyDescent="0.25">
      <c r="A338" s="17" t="s">
        <v>732</v>
      </c>
      <c r="B338" s="10">
        <v>43699</v>
      </c>
      <c r="C338" s="1" t="s">
        <v>589</v>
      </c>
      <c r="D338" s="1" t="s">
        <v>33</v>
      </c>
      <c r="E338" s="1" t="s">
        <v>149</v>
      </c>
      <c r="F338" s="1" t="s">
        <v>155</v>
      </c>
      <c r="G338" s="1" t="s">
        <v>26</v>
      </c>
      <c r="H338" s="2">
        <v>3829</v>
      </c>
      <c r="I338" s="19">
        <v>2262</v>
      </c>
    </row>
    <row r="339" spans="1:9" x14ac:dyDescent="0.25">
      <c r="A339" s="18" t="s">
        <v>733</v>
      </c>
      <c r="B339" s="11">
        <v>44065</v>
      </c>
      <c r="C339" s="3" t="s">
        <v>734</v>
      </c>
      <c r="D339" s="3" t="s">
        <v>72</v>
      </c>
      <c r="E339" s="3" t="s">
        <v>79</v>
      </c>
      <c r="F339" s="3" t="s">
        <v>80</v>
      </c>
      <c r="G339" s="3" t="s">
        <v>20</v>
      </c>
      <c r="H339" s="4">
        <v>5957</v>
      </c>
      <c r="I339" s="20">
        <v>3373</v>
      </c>
    </row>
    <row r="340" spans="1:9" x14ac:dyDescent="0.25">
      <c r="A340" s="17" t="s">
        <v>735</v>
      </c>
      <c r="B340" s="10">
        <v>43365</v>
      </c>
      <c r="C340" s="1" t="s">
        <v>736</v>
      </c>
      <c r="D340" s="1" t="s">
        <v>29</v>
      </c>
      <c r="E340" s="1" t="s">
        <v>30</v>
      </c>
      <c r="F340" s="1" t="s">
        <v>30</v>
      </c>
      <c r="G340" s="1" t="s">
        <v>26</v>
      </c>
      <c r="H340" s="2">
        <v>3991</v>
      </c>
      <c r="I340" s="19">
        <v>1993</v>
      </c>
    </row>
    <row r="341" spans="1:9" x14ac:dyDescent="0.25">
      <c r="A341" s="18" t="s">
        <v>737</v>
      </c>
      <c r="B341" s="11">
        <v>43395</v>
      </c>
      <c r="C341" s="3" t="s">
        <v>738</v>
      </c>
      <c r="D341" s="3" t="s">
        <v>48</v>
      </c>
      <c r="E341" s="3" t="s">
        <v>348</v>
      </c>
      <c r="F341" s="3" t="s">
        <v>400</v>
      </c>
      <c r="G341" s="3" t="s">
        <v>26</v>
      </c>
      <c r="H341" s="4">
        <v>2571</v>
      </c>
      <c r="I341" s="20">
        <v>1743</v>
      </c>
    </row>
    <row r="342" spans="1:9" x14ac:dyDescent="0.25">
      <c r="A342" s="17" t="s">
        <v>739</v>
      </c>
      <c r="B342" s="10">
        <v>43791</v>
      </c>
      <c r="C342" s="1" t="s">
        <v>510</v>
      </c>
      <c r="D342" s="1" t="s">
        <v>17</v>
      </c>
      <c r="E342" s="1" t="s">
        <v>18</v>
      </c>
      <c r="F342" s="1" t="s">
        <v>278</v>
      </c>
      <c r="G342" s="1" t="s">
        <v>20</v>
      </c>
      <c r="H342" s="2">
        <v>4821</v>
      </c>
      <c r="I342" s="19">
        <v>3365</v>
      </c>
    </row>
    <row r="343" spans="1:9" x14ac:dyDescent="0.25">
      <c r="A343" s="18" t="s">
        <v>740</v>
      </c>
      <c r="B343" s="11">
        <v>43456</v>
      </c>
      <c r="C343" s="3" t="s">
        <v>741</v>
      </c>
      <c r="D343" s="3" t="s">
        <v>91</v>
      </c>
      <c r="E343" s="3" t="s">
        <v>92</v>
      </c>
      <c r="F343" s="3" t="s">
        <v>393</v>
      </c>
      <c r="G343" s="3" t="s">
        <v>26</v>
      </c>
      <c r="H343" s="4">
        <v>5547</v>
      </c>
      <c r="I343" s="20">
        <v>3268</v>
      </c>
    </row>
    <row r="344" spans="1:9" x14ac:dyDescent="0.25">
      <c r="A344" s="17" t="s">
        <v>742</v>
      </c>
      <c r="B344" s="10">
        <v>43456</v>
      </c>
      <c r="C344" s="1" t="s">
        <v>743</v>
      </c>
      <c r="D344" s="1" t="s">
        <v>11</v>
      </c>
      <c r="E344" s="1" t="s">
        <v>128</v>
      </c>
      <c r="F344" s="1" t="s">
        <v>187</v>
      </c>
      <c r="G344" s="1" t="s">
        <v>14</v>
      </c>
      <c r="H344" s="2">
        <v>1731</v>
      </c>
      <c r="I344" s="19">
        <v>1144</v>
      </c>
    </row>
    <row r="345" spans="1:9" x14ac:dyDescent="0.25">
      <c r="A345" s="18" t="s">
        <v>744</v>
      </c>
      <c r="B345" s="11">
        <v>43821</v>
      </c>
      <c r="C345" s="3" t="s">
        <v>745</v>
      </c>
      <c r="D345" s="3" t="s">
        <v>43</v>
      </c>
      <c r="E345" s="3" t="s">
        <v>83</v>
      </c>
      <c r="F345" s="3" t="s">
        <v>160</v>
      </c>
      <c r="G345" s="3" t="s">
        <v>14</v>
      </c>
      <c r="H345" s="4">
        <v>5941</v>
      </c>
      <c r="I345" s="20">
        <v>3224</v>
      </c>
    </row>
    <row r="346" spans="1:9" x14ac:dyDescent="0.25">
      <c r="A346" s="17" t="s">
        <v>746</v>
      </c>
      <c r="B346" s="10">
        <v>44187</v>
      </c>
      <c r="C346" s="1" t="s">
        <v>747</v>
      </c>
      <c r="D346" s="1" t="s">
        <v>23</v>
      </c>
      <c r="E346" s="1" t="s">
        <v>119</v>
      </c>
      <c r="F346" s="1" t="s">
        <v>119</v>
      </c>
      <c r="G346" s="1" t="s">
        <v>26</v>
      </c>
      <c r="H346" s="2">
        <v>2789</v>
      </c>
      <c r="I346" s="19">
        <v>1564</v>
      </c>
    </row>
    <row r="347" spans="1:9" x14ac:dyDescent="0.25">
      <c r="A347" s="18" t="s">
        <v>748</v>
      </c>
      <c r="B347" s="11">
        <v>43853</v>
      </c>
      <c r="C347" s="3" t="s">
        <v>749</v>
      </c>
      <c r="D347" s="3" t="s">
        <v>11</v>
      </c>
      <c r="E347" s="3" t="s">
        <v>12</v>
      </c>
      <c r="F347" s="3" t="s">
        <v>13</v>
      </c>
      <c r="G347" s="3" t="s">
        <v>14</v>
      </c>
      <c r="H347" s="4">
        <v>1715</v>
      </c>
      <c r="I347" s="20">
        <v>1085</v>
      </c>
    </row>
    <row r="348" spans="1:9" x14ac:dyDescent="0.25">
      <c r="A348" s="17" t="s">
        <v>750</v>
      </c>
      <c r="B348" s="10">
        <v>43853</v>
      </c>
      <c r="C348" s="1" t="s">
        <v>751</v>
      </c>
      <c r="D348" s="1" t="s">
        <v>91</v>
      </c>
      <c r="E348" s="1" t="s">
        <v>115</v>
      </c>
      <c r="F348" s="1" t="s">
        <v>233</v>
      </c>
      <c r="G348" s="1" t="s">
        <v>26</v>
      </c>
      <c r="H348" s="2">
        <v>2146</v>
      </c>
      <c r="I348" s="19">
        <v>1242</v>
      </c>
    </row>
    <row r="349" spans="1:9" x14ac:dyDescent="0.25">
      <c r="A349" s="18" t="s">
        <v>752</v>
      </c>
      <c r="B349" s="11">
        <v>43154</v>
      </c>
      <c r="C349" s="3" t="s">
        <v>673</v>
      </c>
      <c r="D349" s="3" t="s">
        <v>17</v>
      </c>
      <c r="E349" s="3" t="s">
        <v>18</v>
      </c>
      <c r="F349" s="3" t="s">
        <v>63</v>
      </c>
      <c r="G349" s="3" t="s">
        <v>20</v>
      </c>
      <c r="H349" s="4">
        <v>1979</v>
      </c>
      <c r="I349" s="20">
        <v>1370</v>
      </c>
    </row>
    <row r="350" spans="1:9" x14ac:dyDescent="0.25">
      <c r="A350" s="17" t="s">
        <v>753</v>
      </c>
      <c r="B350" s="10">
        <v>43884</v>
      </c>
      <c r="C350" s="1" t="s">
        <v>754</v>
      </c>
      <c r="D350" s="1" t="s">
        <v>17</v>
      </c>
      <c r="E350" s="1" t="s">
        <v>145</v>
      </c>
      <c r="F350" s="1" t="s">
        <v>203</v>
      </c>
      <c r="G350" s="1" t="s">
        <v>20</v>
      </c>
      <c r="H350" s="2">
        <v>3402</v>
      </c>
      <c r="I350" s="19">
        <v>2001</v>
      </c>
    </row>
    <row r="351" spans="1:9" x14ac:dyDescent="0.25">
      <c r="A351" s="18" t="s">
        <v>755</v>
      </c>
      <c r="B351" s="11">
        <v>43884</v>
      </c>
      <c r="C351" s="3" t="s">
        <v>756</v>
      </c>
      <c r="D351" s="3" t="s">
        <v>23</v>
      </c>
      <c r="E351" s="3" t="s">
        <v>24</v>
      </c>
      <c r="F351" s="3" t="s">
        <v>138</v>
      </c>
      <c r="G351" s="3" t="s">
        <v>26</v>
      </c>
      <c r="H351" s="4">
        <v>4348</v>
      </c>
      <c r="I351" s="20">
        <v>2111</v>
      </c>
    </row>
    <row r="352" spans="1:9" x14ac:dyDescent="0.25">
      <c r="A352" s="17" t="s">
        <v>757</v>
      </c>
      <c r="B352" s="10">
        <v>43547</v>
      </c>
      <c r="C352" s="1" t="s">
        <v>758</v>
      </c>
      <c r="D352" s="1" t="s">
        <v>38</v>
      </c>
      <c r="E352" s="1" t="s">
        <v>39</v>
      </c>
      <c r="F352" s="1" t="s">
        <v>40</v>
      </c>
      <c r="G352" s="1" t="s">
        <v>14</v>
      </c>
      <c r="H352" s="2">
        <v>1560</v>
      </c>
      <c r="I352" s="19">
        <v>941</v>
      </c>
    </row>
    <row r="353" spans="1:9" x14ac:dyDescent="0.25">
      <c r="A353" s="18" t="s">
        <v>759</v>
      </c>
      <c r="B353" s="11">
        <v>43213</v>
      </c>
      <c r="C353" s="3" t="s">
        <v>760</v>
      </c>
      <c r="D353" s="3" t="s">
        <v>72</v>
      </c>
      <c r="E353" s="3" t="s">
        <v>172</v>
      </c>
      <c r="F353" s="3" t="s">
        <v>192</v>
      </c>
      <c r="G353" s="3" t="s">
        <v>20</v>
      </c>
      <c r="H353" s="4">
        <v>3593</v>
      </c>
      <c r="I353" s="20">
        <v>1928</v>
      </c>
    </row>
    <row r="354" spans="1:9" x14ac:dyDescent="0.25">
      <c r="A354" s="17" t="s">
        <v>761</v>
      </c>
      <c r="B354" s="10">
        <v>43213</v>
      </c>
      <c r="C354" s="1" t="s">
        <v>762</v>
      </c>
      <c r="D354" s="1" t="s">
        <v>43</v>
      </c>
      <c r="E354" s="1" t="s">
        <v>83</v>
      </c>
      <c r="F354" s="1" t="s">
        <v>84</v>
      </c>
      <c r="G354" s="1" t="s">
        <v>14</v>
      </c>
      <c r="H354" s="2">
        <v>2624</v>
      </c>
      <c r="I354" s="19">
        <v>1733</v>
      </c>
    </row>
    <row r="355" spans="1:9" x14ac:dyDescent="0.25">
      <c r="A355" s="18" t="s">
        <v>763</v>
      </c>
      <c r="B355" s="11">
        <v>43578</v>
      </c>
      <c r="C355" s="3" t="s">
        <v>764</v>
      </c>
      <c r="D355" s="3" t="s">
        <v>11</v>
      </c>
      <c r="E355" s="3" t="s">
        <v>12</v>
      </c>
      <c r="F355" s="3" t="s">
        <v>13</v>
      </c>
      <c r="G355" s="3" t="s">
        <v>14</v>
      </c>
      <c r="H355" s="4">
        <v>2685</v>
      </c>
      <c r="I355" s="20">
        <v>2003</v>
      </c>
    </row>
    <row r="356" spans="1:9" x14ac:dyDescent="0.25">
      <c r="A356" s="17" t="s">
        <v>765</v>
      </c>
      <c r="B356" s="10">
        <v>43608</v>
      </c>
      <c r="C356" s="1" t="s">
        <v>766</v>
      </c>
      <c r="D356" s="1" t="s">
        <v>29</v>
      </c>
      <c r="E356" s="1" t="s">
        <v>30</v>
      </c>
      <c r="F356" s="1" t="s">
        <v>30</v>
      </c>
      <c r="G356" s="1" t="s">
        <v>26</v>
      </c>
      <c r="H356" s="2">
        <v>4925</v>
      </c>
      <c r="I356" s="19">
        <v>2583</v>
      </c>
    </row>
    <row r="357" spans="1:9" x14ac:dyDescent="0.25">
      <c r="A357" s="18" t="s">
        <v>767</v>
      </c>
      <c r="B357" s="11">
        <v>43974</v>
      </c>
      <c r="C357" s="3" t="s">
        <v>768</v>
      </c>
      <c r="D357" s="3" t="s">
        <v>23</v>
      </c>
      <c r="E357" s="3" t="s">
        <v>24</v>
      </c>
      <c r="F357" s="3" t="s">
        <v>138</v>
      </c>
      <c r="G357" s="3" t="s">
        <v>26</v>
      </c>
      <c r="H357" s="4">
        <v>5040</v>
      </c>
      <c r="I357" s="20">
        <v>2866</v>
      </c>
    </row>
    <row r="358" spans="1:9" x14ac:dyDescent="0.25">
      <c r="A358" s="17" t="s">
        <v>769</v>
      </c>
      <c r="B358" s="10">
        <v>43274</v>
      </c>
      <c r="C358" s="1" t="s">
        <v>488</v>
      </c>
      <c r="D358" s="1" t="s">
        <v>17</v>
      </c>
      <c r="E358" s="1" t="s">
        <v>57</v>
      </c>
      <c r="F358" s="1" t="s">
        <v>57</v>
      </c>
      <c r="G358" s="1" t="s">
        <v>20</v>
      </c>
      <c r="H358" s="2">
        <v>4618</v>
      </c>
      <c r="I358" s="19">
        <v>2312</v>
      </c>
    </row>
    <row r="359" spans="1:9" x14ac:dyDescent="0.25">
      <c r="A359" s="18" t="s">
        <v>770</v>
      </c>
      <c r="B359" s="11">
        <v>43639</v>
      </c>
      <c r="C359" s="3" t="s">
        <v>771</v>
      </c>
      <c r="D359" s="3" t="s">
        <v>91</v>
      </c>
      <c r="E359" s="3" t="s">
        <v>101</v>
      </c>
      <c r="F359" s="3" t="s">
        <v>167</v>
      </c>
      <c r="G359" s="3" t="s">
        <v>26</v>
      </c>
      <c r="H359" s="4">
        <v>5684</v>
      </c>
      <c r="I359" s="20">
        <v>3171</v>
      </c>
    </row>
    <row r="360" spans="1:9" x14ac:dyDescent="0.25">
      <c r="A360" s="17" t="s">
        <v>772</v>
      </c>
      <c r="B360" s="10">
        <v>44005</v>
      </c>
      <c r="C360" s="1" t="s">
        <v>773</v>
      </c>
      <c r="D360" s="1" t="s">
        <v>23</v>
      </c>
      <c r="E360" s="1" t="s">
        <v>24</v>
      </c>
      <c r="F360" s="1" t="s">
        <v>138</v>
      </c>
      <c r="G360" s="1" t="s">
        <v>26</v>
      </c>
      <c r="H360" s="2">
        <v>2116</v>
      </c>
      <c r="I360" s="19">
        <v>1552</v>
      </c>
    </row>
    <row r="361" spans="1:9" x14ac:dyDescent="0.25">
      <c r="A361" s="18" t="s">
        <v>774</v>
      </c>
      <c r="B361" s="11">
        <v>44005</v>
      </c>
      <c r="C361" s="3" t="s">
        <v>775</v>
      </c>
      <c r="D361" s="3" t="s">
        <v>72</v>
      </c>
      <c r="E361" s="3" t="s">
        <v>73</v>
      </c>
      <c r="F361" s="3" t="s">
        <v>402</v>
      </c>
      <c r="G361" s="3" t="s">
        <v>20</v>
      </c>
      <c r="H361" s="4">
        <v>5242</v>
      </c>
      <c r="I361" s="20">
        <v>3688</v>
      </c>
    </row>
    <row r="362" spans="1:9" x14ac:dyDescent="0.25">
      <c r="A362" s="17" t="s">
        <v>776</v>
      </c>
      <c r="B362" s="10">
        <v>43304</v>
      </c>
      <c r="C362" s="1" t="s">
        <v>777</v>
      </c>
      <c r="D362" s="1" t="s">
        <v>17</v>
      </c>
      <c r="E362" s="1" t="s">
        <v>145</v>
      </c>
      <c r="F362" s="1" t="s">
        <v>203</v>
      </c>
      <c r="G362" s="1" t="s">
        <v>20</v>
      </c>
      <c r="H362" s="2">
        <v>2786</v>
      </c>
      <c r="I362" s="19">
        <v>1454</v>
      </c>
    </row>
    <row r="363" spans="1:9" x14ac:dyDescent="0.25">
      <c r="A363" s="18" t="s">
        <v>778</v>
      </c>
      <c r="B363" s="11">
        <v>43304</v>
      </c>
      <c r="C363" s="3" t="s">
        <v>779</v>
      </c>
      <c r="D363" s="3" t="s">
        <v>38</v>
      </c>
      <c r="E363" s="3" t="s">
        <v>179</v>
      </c>
      <c r="F363" s="3" t="s">
        <v>180</v>
      </c>
      <c r="G363" s="3" t="s">
        <v>14</v>
      </c>
      <c r="H363" s="4">
        <v>5199</v>
      </c>
      <c r="I363" s="20">
        <v>3724</v>
      </c>
    </row>
    <row r="364" spans="1:9" x14ac:dyDescent="0.25">
      <c r="A364" s="17" t="s">
        <v>780</v>
      </c>
      <c r="B364" s="10">
        <v>44066</v>
      </c>
      <c r="C364" s="1" t="s">
        <v>781</v>
      </c>
      <c r="D364" s="1" t="s">
        <v>38</v>
      </c>
      <c r="E364" s="1" t="s">
        <v>39</v>
      </c>
      <c r="F364" s="1" t="s">
        <v>40</v>
      </c>
      <c r="G364" s="1" t="s">
        <v>14</v>
      </c>
      <c r="H364" s="2">
        <v>2017</v>
      </c>
      <c r="I364" s="19">
        <v>1292</v>
      </c>
    </row>
    <row r="365" spans="1:9" x14ac:dyDescent="0.25">
      <c r="A365" s="18" t="s">
        <v>782</v>
      </c>
      <c r="B365" s="11">
        <v>44066</v>
      </c>
      <c r="C365" s="3" t="s">
        <v>366</v>
      </c>
      <c r="D365" s="3" t="s">
        <v>29</v>
      </c>
      <c r="E365" s="3" t="s">
        <v>30</v>
      </c>
      <c r="F365" s="3" t="s">
        <v>30</v>
      </c>
      <c r="G365" s="3" t="s">
        <v>26</v>
      </c>
      <c r="H365" s="4">
        <v>4162</v>
      </c>
      <c r="I365" s="20">
        <v>3119</v>
      </c>
    </row>
    <row r="366" spans="1:9" x14ac:dyDescent="0.25">
      <c r="A366" s="17" t="s">
        <v>783</v>
      </c>
      <c r="B366" s="10">
        <v>44097</v>
      </c>
      <c r="C366" s="1" t="s">
        <v>784</v>
      </c>
      <c r="D366" s="1" t="s">
        <v>72</v>
      </c>
      <c r="E366" s="1" t="s">
        <v>79</v>
      </c>
      <c r="F366" s="1" t="s">
        <v>176</v>
      </c>
      <c r="G366" s="1" t="s">
        <v>20</v>
      </c>
      <c r="H366" s="2">
        <v>4737</v>
      </c>
      <c r="I366" s="19">
        <v>3530</v>
      </c>
    </row>
    <row r="367" spans="1:9" x14ac:dyDescent="0.25">
      <c r="A367" s="18" t="s">
        <v>785</v>
      </c>
      <c r="B367" s="11">
        <v>43761</v>
      </c>
      <c r="C367" s="3" t="s">
        <v>786</v>
      </c>
      <c r="D367" s="3" t="s">
        <v>48</v>
      </c>
      <c r="E367" s="3" t="s">
        <v>348</v>
      </c>
      <c r="F367" s="3" t="s">
        <v>349</v>
      </c>
      <c r="G367" s="3" t="s">
        <v>26</v>
      </c>
      <c r="H367" s="4">
        <v>3552</v>
      </c>
      <c r="I367" s="20">
        <v>1807</v>
      </c>
    </row>
    <row r="368" spans="1:9" x14ac:dyDescent="0.25">
      <c r="A368" s="17" t="s">
        <v>787</v>
      </c>
      <c r="B368" s="10">
        <v>44127</v>
      </c>
      <c r="C368" s="1" t="s">
        <v>788</v>
      </c>
      <c r="D368" s="1" t="s">
        <v>23</v>
      </c>
      <c r="E368" s="1" t="s">
        <v>119</v>
      </c>
      <c r="F368" s="1" t="s">
        <v>119</v>
      </c>
      <c r="G368" s="1" t="s">
        <v>26</v>
      </c>
      <c r="H368" s="2">
        <v>5895</v>
      </c>
      <c r="I368" s="19">
        <v>3603</v>
      </c>
    </row>
    <row r="369" spans="1:9" x14ac:dyDescent="0.25">
      <c r="A369" s="18" t="s">
        <v>789</v>
      </c>
      <c r="B369" s="11">
        <v>44188</v>
      </c>
      <c r="C369" s="3" t="s">
        <v>148</v>
      </c>
      <c r="D369" s="3" t="s">
        <v>43</v>
      </c>
      <c r="E369" s="3" t="s">
        <v>83</v>
      </c>
      <c r="F369" s="3" t="s">
        <v>84</v>
      </c>
      <c r="G369" s="3" t="s">
        <v>14</v>
      </c>
      <c r="H369" s="4">
        <v>2146</v>
      </c>
      <c r="I369" s="20">
        <v>1358</v>
      </c>
    </row>
    <row r="370" spans="1:9" x14ac:dyDescent="0.25">
      <c r="A370" s="17" t="s">
        <v>790</v>
      </c>
      <c r="B370" s="10">
        <v>43124</v>
      </c>
      <c r="C370" s="1" t="s">
        <v>295</v>
      </c>
      <c r="D370" s="1" t="s">
        <v>91</v>
      </c>
      <c r="E370" s="1" t="s">
        <v>115</v>
      </c>
      <c r="F370" s="1" t="s">
        <v>408</v>
      </c>
      <c r="G370" s="1" t="s">
        <v>26</v>
      </c>
      <c r="H370" s="2">
        <v>3685</v>
      </c>
      <c r="I370" s="19">
        <v>2507</v>
      </c>
    </row>
    <row r="371" spans="1:9" x14ac:dyDescent="0.25">
      <c r="A371" s="18" t="s">
        <v>791</v>
      </c>
      <c r="B371" s="11">
        <v>43489</v>
      </c>
      <c r="C371" s="3" t="s">
        <v>792</v>
      </c>
      <c r="D371" s="3" t="s">
        <v>17</v>
      </c>
      <c r="E371" s="3" t="s">
        <v>57</v>
      </c>
      <c r="F371" s="3" t="s">
        <v>57</v>
      </c>
      <c r="G371" s="3" t="s">
        <v>20</v>
      </c>
      <c r="H371" s="4">
        <v>4436</v>
      </c>
      <c r="I371" s="20">
        <v>2671</v>
      </c>
    </row>
    <row r="372" spans="1:9" x14ac:dyDescent="0.25">
      <c r="A372" s="17" t="s">
        <v>793</v>
      </c>
      <c r="B372" s="10">
        <v>43155</v>
      </c>
      <c r="C372" s="1" t="s">
        <v>794</v>
      </c>
      <c r="D372" s="1" t="s">
        <v>38</v>
      </c>
      <c r="E372" s="1" t="s">
        <v>39</v>
      </c>
      <c r="F372" s="1" t="s">
        <v>40</v>
      </c>
      <c r="G372" s="1" t="s">
        <v>14</v>
      </c>
      <c r="H372" s="2">
        <v>5179</v>
      </c>
      <c r="I372" s="19">
        <v>3246</v>
      </c>
    </row>
    <row r="373" spans="1:9" x14ac:dyDescent="0.25">
      <c r="A373" s="18" t="s">
        <v>795</v>
      </c>
      <c r="B373" s="11">
        <v>43155</v>
      </c>
      <c r="C373" s="3" t="s">
        <v>796</v>
      </c>
      <c r="D373" s="3" t="s">
        <v>72</v>
      </c>
      <c r="E373" s="3" t="s">
        <v>172</v>
      </c>
      <c r="F373" s="3" t="s">
        <v>192</v>
      </c>
      <c r="G373" s="3" t="s">
        <v>20</v>
      </c>
      <c r="H373" s="4">
        <v>5435</v>
      </c>
      <c r="I373" s="20">
        <v>2723</v>
      </c>
    </row>
    <row r="374" spans="1:9" x14ac:dyDescent="0.25">
      <c r="A374" s="17" t="s">
        <v>797</v>
      </c>
      <c r="B374" s="10">
        <v>43155</v>
      </c>
      <c r="C374" s="1" t="s">
        <v>798</v>
      </c>
      <c r="D374" s="1" t="s">
        <v>17</v>
      </c>
      <c r="E374" s="1" t="s">
        <v>57</v>
      </c>
      <c r="F374" s="1" t="s">
        <v>57</v>
      </c>
      <c r="G374" s="1" t="s">
        <v>20</v>
      </c>
      <c r="H374" s="2">
        <v>4709</v>
      </c>
      <c r="I374" s="19">
        <v>2536</v>
      </c>
    </row>
    <row r="375" spans="1:9" x14ac:dyDescent="0.25">
      <c r="A375" s="18" t="s">
        <v>799</v>
      </c>
      <c r="B375" s="11">
        <v>43885</v>
      </c>
      <c r="C375" s="3" t="s">
        <v>800</v>
      </c>
      <c r="D375" s="3" t="s">
        <v>17</v>
      </c>
      <c r="E375" s="3" t="s">
        <v>18</v>
      </c>
      <c r="F375" s="3" t="s">
        <v>63</v>
      </c>
      <c r="G375" s="3" t="s">
        <v>20</v>
      </c>
      <c r="H375" s="4">
        <v>4839</v>
      </c>
      <c r="I375" s="20">
        <v>2657</v>
      </c>
    </row>
    <row r="376" spans="1:9" x14ac:dyDescent="0.25">
      <c r="A376" s="17" t="s">
        <v>801</v>
      </c>
      <c r="B376" s="10">
        <v>43548</v>
      </c>
      <c r="C376" s="1" t="s">
        <v>802</v>
      </c>
      <c r="D376" s="1" t="s">
        <v>11</v>
      </c>
      <c r="E376" s="1" t="s">
        <v>12</v>
      </c>
      <c r="F376" s="1" t="s">
        <v>13</v>
      </c>
      <c r="G376" s="1" t="s">
        <v>14</v>
      </c>
      <c r="H376" s="2">
        <v>5826</v>
      </c>
      <c r="I376" s="19">
        <v>3851</v>
      </c>
    </row>
    <row r="377" spans="1:9" x14ac:dyDescent="0.25">
      <c r="A377" s="18" t="s">
        <v>803</v>
      </c>
      <c r="B377" s="11">
        <v>43914</v>
      </c>
      <c r="C377" s="3" t="s">
        <v>804</v>
      </c>
      <c r="D377" s="3" t="s">
        <v>72</v>
      </c>
      <c r="E377" s="3" t="s">
        <v>73</v>
      </c>
      <c r="F377" s="3" t="s">
        <v>74</v>
      </c>
      <c r="G377" s="3" t="s">
        <v>20</v>
      </c>
      <c r="H377" s="4">
        <v>5780</v>
      </c>
      <c r="I377" s="20">
        <v>3956</v>
      </c>
    </row>
    <row r="378" spans="1:9" x14ac:dyDescent="0.25">
      <c r="A378" s="17" t="s">
        <v>805</v>
      </c>
      <c r="B378" s="10">
        <v>43945</v>
      </c>
      <c r="C378" s="1" t="s">
        <v>581</v>
      </c>
      <c r="D378" s="1" t="s">
        <v>17</v>
      </c>
      <c r="E378" s="1" t="s">
        <v>18</v>
      </c>
      <c r="F378" s="1" t="s">
        <v>278</v>
      </c>
      <c r="G378" s="1" t="s">
        <v>20</v>
      </c>
      <c r="H378" s="2">
        <v>2737</v>
      </c>
      <c r="I378" s="19">
        <v>1239</v>
      </c>
    </row>
    <row r="379" spans="1:9" x14ac:dyDescent="0.25">
      <c r="A379" s="18" t="s">
        <v>806</v>
      </c>
      <c r="B379" s="11">
        <v>43609</v>
      </c>
      <c r="C379" s="3" t="s">
        <v>807</v>
      </c>
      <c r="D379" s="3" t="s">
        <v>23</v>
      </c>
      <c r="E379" s="3" t="s">
        <v>24</v>
      </c>
      <c r="F379" s="3" t="s">
        <v>25</v>
      </c>
      <c r="G379" s="3" t="s">
        <v>26</v>
      </c>
      <c r="H379" s="4">
        <v>3687</v>
      </c>
      <c r="I379" s="20">
        <v>2714</v>
      </c>
    </row>
    <row r="380" spans="1:9" x14ac:dyDescent="0.25">
      <c r="A380" s="17" t="s">
        <v>808</v>
      </c>
      <c r="B380" s="10">
        <v>43975</v>
      </c>
      <c r="C380" s="1" t="s">
        <v>809</v>
      </c>
      <c r="D380" s="1" t="s">
        <v>29</v>
      </c>
      <c r="E380" s="1" t="s">
        <v>30</v>
      </c>
      <c r="F380" s="1" t="s">
        <v>30</v>
      </c>
      <c r="G380" s="1" t="s">
        <v>26</v>
      </c>
      <c r="H380" s="2">
        <v>5796</v>
      </c>
      <c r="I380" s="19">
        <v>3162</v>
      </c>
    </row>
    <row r="381" spans="1:9" x14ac:dyDescent="0.25">
      <c r="A381" s="18" t="s">
        <v>810</v>
      </c>
      <c r="B381" s="11">
        <v>43640</v>
      </c>
      <c r="C381" s="3" t="s">
        <v>811</v>
      </c>
      <c r="D381" s="3" t="s">
        <v>38</v>
      </c>
      <c r="E381" s="3" t="s">
        <v>179</v>
      </c>
      <c r="F381" s="3" t="s">
        <v>180</v>
      </c>
      <c r="G381" s="3" t="s">
        <v>14</v>
      </c>
      <c r="H381" s="4">
        <v>5658</v>
      </c>
      <c r="I381" s="20">
        <v>3579</v>
      </c>
    </row>
    <row r="382" spans="1:9" x14ac:dyDescent="0.25">
      <c r="A382" s="17" t="s">
        <v>812</v>
      </c>
      <c r="B382" s="10">
        <v>43640</v>
      </c>
      <c r="C382" s="1" t="s">
        <v>813</v>
      </c>
      <c r="D382" s="1" t="s">
        <v>11</v>
      </c>
      <c r="E382" s="1" t="s">
        <v>12</v>
      </c>
      <c r="F382" s="1" t="s">
        <v>12</v>
      </c>
      <c r="G382" s="1" t="s">
        <v>14</v>
      </c>
      <c r="H382" s="2">
        <v>2292</v>
      </c>
      <c r="I382" s="19">
        <v>1090</v>
      </c>
    </row>
    <row r="383" spans="1:9" x14ac:dyDescent="0.25">
      <c r="A383" s="18" t="s">
        <v>814</v>
      </c>
      <c r="B383" s="11">
        <v>44006</v>
      </c>
      <c r="C383" s="3" t="s">
        <v>815</v>
      </c>
      <c r="D383" s="3" t="s">
        <v>11</v>
      </c>
      <c r="E383" s="3" t="s">
        <v>128</v>
      </c>
      <c r="F383" s="3" t="s">
        <v>187</v>
      </c>
      <c r="G383" s="3" t="s">
        <v>14</v>
      </c>
      <c r="H383" s="4">
        <v>2247</v>
      </c>
      <c r="I383" s="20">
        <v>1327</v>
      </c>
    </row>
    <row r="384" spans="1:9" x14ac:dyDescent="0.25">
      <c r="A384" s="17" t="s">
        <v>816</v>
      </c>
      <c r="B384" s="10">
        <v>43305</v>
      </c>
      <c r="C384" s="1" t="s">
        <v>817</v>
      </c>
      <c r="D384" s="1" t="s">
        <v>17</v>
      </c>
      <c r="E384" s="1" t="s">
        <v>57</v>
      </c>
      <c r="F384" s="1" t="s">
        <v>57</v>
      </c>
      <c r="G384" s="1" t="s">
        <v>20</v>
      </c>
      <c r="H384" s="2">
        <v>2585</v>
      </c>
      <c r="I384" s="19">
        <v>1886</v>
      </c>
    </row>
    <row r="385" spans="1:9" x14ac:dyDescent="0.25">
      <c r="A385" s="18" t="s">
        <v>818</v>
      </c>
      <c r="B385" s="11">
        <v>43305</v>
      </c>
      <c r="C385" s="3" t="s">
        <v>819</v>
      </c>
      <c r="D385" s="3" t="s">
        <v>72</v>
      </c>
      <c r="E385" s="3" t="s">
        <v>87</v>
      </c>
      <c r="F385" s="3" t="s">
        <v>88</v>
      </c>
      <c r="G385" s="3" t="s">
        <v>20</v>
      </c>
      <c r="H385" s="4">
        <v>4989</v>
      </c>
      <c r="I385" s="20">
        <v>3350</v>
      </c>
    </row>
    <row r="386" spans="1:9" x14ac:dyDescent="0.25">
      <c r="A386" s="17" t="s">
        <v>820</v>
      </c>
      <c r="B386" s="10">
        <v>44067</v>
      </c>
      <c r="C386" s="1" t="s">
        <v>821</v>
      </c>
      <c r="D386" s="1" t="s">
        <v>23</v>
      </c>
      <c r="E386" s="1" t="s">
        <v>24</v>
      </c>
      <c r="F386" s="1" t="s">
        <v>138</v>
      </c>
      <c r="G386" s="1" t="s">
        <v>26</v>
      </c>
      <c r="H386" s="2">
        <v>4943</v>
      </c>
      <c r="I386" s="19">
        <v>2779</v>
      </c>
    </row>
    <row r="387" spans="1:9" x14ac:dyDescent="0.25">
      <c r="A387" s="18" t="s">
        <v>822</v>
      </c>
      <c r="B387" s="11">
        <v>44067</v>
      </c>
      <c r="C387" s="3" t="s">
        <v>823</v>
      </c>
      <c r="D387" s="3" t="s">
        <v>11</v>
      </c>
      <c r="E387" s="3" t="s">
        <v>12</v>
      </c>
      <c r="F387" s="3" t="s">
        <v>12</v>
      </c>
      <c r="G387" s="3" t="s">
        <v>14</v>
      </c>
      <c r="H387" s="4">
        <v>2320</v>
      </c>
      <c r="I387" s="20">
        <v>1216</v>
      </c>
    </row>
    <row r="388" spans="1:9" x14ac:dyDescent="0.25">
      <c r="A388" s="17" t="s">
        <v>824</v>
      </c>
      <c r="B388" s="10">
        <v>43732</v>
      </c>
      <c r="C388" s="1" t="s">
        <v>825</v>
      </c>
      <c r="D388" s="1" t="s">
        <v>23</v>
      </c>
      <c r="E388" s="1" t="s">
        <v>119</v>
      </c>
      <c r="F388" s="1" t="s">
        <v>119</v>
      </c>
      <c r="G388" s="1" t="s">
        <v>26</v>
      </c>
      <c r="H388" s="2">
        <v>3285</v>
      </c>
      <c r="I388" s="19">
        <v>2048</v>
      </c>
    </row>
    <row r="389" spans="1:9" x14ac:dyDescent="0.25">
      <c r="A389" s="18" t="s">
        <v>826</v>
      </c>
      <c r="B389" s="11">
        <v>43428</v>
      </c>
      <c r="C389" s="3" t="s">
        <v>827</v>
      </c>
      <c r="D389" s="3" t="s">
        <v>11</v>
      </c>
      <c r="E389" s="3" t="s">
        <v>128</v>
      </c>
      <c r="F389" s="3" t="s">
        <v>129</v>
      </c>
      <c r="G389" s="3" t="s">
        <v>14</v>
      </c>
      <c r="H389" s="4">
        <v>2534</v>
      </c>
      <c r="I389" s="20">
        <v>1191</v>
      </c>
    </row>
    <row r="390" spans="1:9" x14ac:dyDescent="0.25">
      <c r="A390" s="17" t="s">
        <v>828</v>
      </c>
      <c r="B390" s="10">
        <v>43428</v>
      </c>
      <c r="C390" s="1" t="s">
        <v>829</v>
      </c>
      <c r="D390" s="1" t="s">
        <v>48</v>
      </c>
      <c r="E390" s="1" t="s">
        <v>49</v>
      </c>
      <c r="F390" s="1" t="s">
        <v>50</v>
      </c>
      <c r="G390" s="1" t="s">
        <v>26</v>
      </c>
      <c r="H390" s="2">
        <v>5581</v>
      </c>
      <c r="I390" s="19">
        <v>4179</v>
      </c>
    </row>
    <row r="391" spans="1:9" x14ac:dyDescent="0.25">
      <c r="A391" s="18" t="s">
        <v>830</v>
      </c>
      <c r="B391" s="11">
        <v>43823</v>
      </c>
      <c r="C391" s="3" t="s">
        <v>831</v>
      </c>
      <c r="D391" s="3" t="s">
        <v>23</v>
      </c>
      <c r="E391" s="3" t="s">
        <v>24</v>
      </c>
      <c r="F391" s="3" t="s">
        <v>138</v>
      </c>
      <c r="G391" s="3" t="s">
        <v>26</v>
      </c>
      <c r="H391" s="4">
        <v>5788</v>
      </c>
      <c r="I391" s="20">
        <v>4296</v>
      </c>
    </row>
    <row r="392" spans="1:9" x14ac:dyDescent="0.25">
      <c r="A392" s="17" t="s">
        <v>832</v>
      </c>
      <c r="B392" s="10">
        <v>43823</v>
      </c>
      <c r="C392" s="1" t="s">
        <v>833</v>
      </c>
      <c r="D392" s="1" t="s">
        <v>72</v>
      </c>
      <c r="E392" s="1" t="s">
        <v>79</v>
      </c>
      <c r="F392" s="1" t="s">
        <v>176</v>
      </c>
      <c r="G392" s="1" t="s">
        <v>20</v>
      </c>
      <c r="H392" s="2">
        <v>4827</v>
      </c>
      <c r="I392" s="19">
        <v>2698</v>
      </c>
    </row>
    <row r="393" spans="1:9" x14ac:dyDescent="0.25">
      <c r="A393" s="18" t="s">
        <v>834</v>
      </c>
      <c r="B393" s="11">
        <v>43490</v>
      </c>
      <c r="C393" s="3" t="s">
        <v>835</v>
      </c>
      <c r="D393" s="3" t="s">
        <v>23</v>
      </c>
      <c r="E393" s="3" t="s">
        <v>119</v>
      </c>
      <c r="F393" s="3" t="s">
        <v>119</v>
      </c>
      <c r="G393" s="3" t="s">
        <v>26</v>
      </c>
      <c r="H393" s="4">
        <v>4867</v>
      </c>
      <c r="I393" s="20">
        <v>2872</v>
      </c>
    </row>
    <row r="394" spans="1:9" x14ac:dyDescent="0.25">
      <c r="A394" s="17" t="s">
        <v>836</v>
      </c>
      <c r="B394" s="10">
        <v>43855</v>
      </c>
      <c r="C394" s="1" t="s">
        <v>837</v>
      </c>
      <c r="D394" s="1" t="s">
        <v>91</v>
      </c>
      <c r="E394" s="1" t="s">
        <v>101</v>
      </c>
      <c r="F394" s="1" t="s">
        <v>838</v>
      </c>
      <c r="G394" s="1" t="s">
        <v>26</v>
      </c>
      <c r="H394" s="2">
        <v>4020</v>
      </c>
      <c r="I394" s="19">
        <v>2769</v>
      </c>
    </row>
    <row r="395" spans="1:9" x14ac:dyDescent="0.25">
      <c r="A395" s="18" t="s">
        <v>839</v>
      </c>
      <c r="B395" s="11">
        <v>43156</v>
      </c>
      <c r="C395" s="3" t="s">
        <v>840</v>
      </c>
      <c r="D395" s="3" t="s">
        <v>23</v>
      </c>
      <c r="E395" s="3" t="s">
        <v>24</v>
      </c>
      <c r="F395" s="3" t="s">
        <v>25</v>
      </c>
      <c r="G395" s="3" t="s">
        <v>26</v>
      </c>
      <c r="H395" s="4">
        <v>2988</v>
      </c>
      <c r="I395" s="20">
        <v>1389</v>
      </c>
    </row>
    <row r="396" spans="1:9" x14ac:dyDescent="0.25">
      <c r="A396" s="17" t="s">
        <v>841</v>
      </c>
      <c r="B396" s="10">
        <v>43915</v>
      </c>
      <c r="C396" s="1" t="s">
        <v>842</v>
      </c>
      <c r="D396" s="1" t="s">
        <v>48</v>
      </c>
      <c r="E396" s="1" t="s">
        <v>348</v>
      </c>
      <c r="F396" s="1" t="s">
        <v>400</v>
      </c>
      <c r="G396" s="1" t="s">
        <v>26</v>
      </c>
      <c r="H396" s="2">
        <v>5497</v>
      </c>
      <c r="I396" s="19">
        <v>3912</v>
      </c>
    </row>
    <row r="397" spans="1:9" x14ac:dyDescent="0.25">
      <c r="A397" s="18" t="s">
        <v>843</v>
      </c>
      <c r="B397" s="11">
        <v>43215</v>
      </c>
      <c r="C397" s="3" t="s">
        <v>844</v>
      </c>
      <c r="D397" s="3" t="s">
        <v>48</v>
      </c>
      <c r="E397" s="3" t="s">
        <v>348</v>
      </c>
      <c r="F397" s="3" t="s">
        <v>400</v>
      </c>
      <c r="G397" s="3" t="s">
        <v>26</v>
      </c>
      <c r="H397" s="4">
        <v>2042</v>
      </c>
      <c r="I397" s="20">
        <v>1048</v>
      </c>
    </row>
    <row r="398" spans="1:9" x14ac:dyDescent="0.25">
      <c r="A398" s="17" t="s">
        <v>845</v>
      </c>
      <c r="B398" s="10">
        <v>43580</v>
      </c>
      <c r="C398" s="1" t="s">
        <v>846</v>
      </c>
      <c r="D398" s="1" t="s">
        <v>29</v>
      </c>
      <c r="E398" s="1" t="s">
        <v>30</v>
      </c>
      <c r="F398" s="1" t="s">
        <v>30</v>
      </c>
      <c r="G398" s="1" t="s">
        <v>26</v>
      </c>
      <c r="H398" s="2">
        <v>3418</v>
      </c>
      <c r="I398" s="19">
        <v>2374</v>
      </c>
    </row>
    <row r="399" spans="1:9" x14ac:dyDescent="0.25">
      <c r="A399" s="18" t="s">
        <v>847</v>
      </c>
      <c r="B399" s="11">
        <v>43580</v>
      </c>
      <c r="C399" s="3" t="s">
        <v>848</v>
      </c>
      <c r="D399" s="3" t="s">
        <v>91</v>
      </c>
      <c r="E399" s="3" t="s">
        <v>115</v>
      </c>
      <c r="F399" s="3" t="s">
        <v>116</v>
      </c>
      <c r="G399" s="3" t="s">
        <v>26</v>
      </c>
      <c r="H399" s="4">
        <v>1508</v>
      </c>
      <c r="I399" s="20">
        <v>775</v>
      </c>
    </row>
    <row r="400" spans="1:9" x14ac:dyDescent="0.25">
      <c r="A400" s="17" t="s">
        <v>849</v>
      </c>
      <c r="B400" s="10">
        <v>43976</v>
      </c>
      <c r="C400" s="1" t="s">
        <v>850</v>
      </c>
      <c r="D400" s="1" t="s">
        <v>11</v>
      </c>
      <c r="E400" s="1" t="s">
        <v>128</v>
      </c>
      <c r="F400" s="1" t="s">
        <v>129</v>
      </c>
      <c r="G400" s="1" t="s">
        <v>14</v>
      </c>
      <c r="H400" s="2">
        <v>2294</v>
      </c>
      <c r="I400" s="19">
        <v>1050</v>
      </c>
    </row>
    <row r="401" spans="1:9" x14ac:dyDescent="0.25">
      <c r="A401" s="18" t="s">
        <v>851</v>
      </c>
      <c r="B401" s="11">
        <v>43276</v>
      </c>
      <c r="C401" s="3" t="s">
        <v>852</v>
      </c>
      <c r="D401" s="3" t="s">
        <v>23</v>
      </c>
      <c r="E401" s="3" t="s">
        <v>119</v>
      </c>
      <c r="F401" s="3" t="s">
        <v>119</v>
      </c>
      <c r="G401" s="3" t="s">
        <v>26</v>
      </c>
      <c r="H401" s="4">
        <v>5400</v>
      </c>
      <c r="I401" s="20">
        <v>3476</v>
      </c>
    </row>
    <row r="402" spans="1:9" x14ac:dyDescent="0.25">
      <c r="A402" s="17" t="s">
        <v>853</v>
      </c>
      <c r="B402" s="10">
        <v>43671</v>
      </c>
      <c r="C402" s="1" t="s">
        <v>854</v>
      </c>
      <c r="D402" s="1" t="s">
        <v>91</v>
      </c>
      <c r="E402" s="1" t="s">
        <v>101</v>
      </c>
      <c r="F402" s="1" t="s">
        <v>838</v>
      </c>
      <c r="G402" s="1" t="s">
        <v>26</v>
      </c>
      <c r="H402" s="2">
        <v>2302</v>
      </c>
      <c r="I402" s="19">
        <v>1070</v>
      </c>
    </row>
    <row r="403" spans="1:9" x14ac:dyDescent="0.25">
      <c r="A403" s="18" t="s">
        <v>855</v>
      </c>
      <c r="B403" s="11">
        <v>43671</v>
      </c>
      <c r="C403" s="3" t="s">
        <v>856</v>
      </c>
      <c r="D403" s="3" t="s">
        <v>29</v>
      </c>
      <c r="E403" s="3" t="s">
        <v>30</v>
      </c>
      <c r="F403" s="3" t="s">
        <v>30</v>
      </c>
      <c r="G403" s="3" t="s">
        <v>26</v>
      </c>
      <c r="H403" s="4">
        <v>5741</v>
      </c>
      <c r="I403" s="20">
        <v>3249</v>
      </c>
    </row>
    <row r="404" spans="1:9" x14ac:dyDescent="0.25">
      <c r="A404" s="17" t="s">
        <v>857</v>
      </c>
      <c r="B404" s="10">
        <v>43337</v>
      </c>
      <c r="C404" s="1" t="s">
        <v>858</v>
      </c>
      <c r="D404" s="1" t="s">
        <v>29</v>
      </c>
      <c r="E404" s="1" t="s">
        <v>30</v>
      </c>
      <c r="F404" s="1" t="s">
        <v>30</v>
      </c>
      <c r="G404" s="1" t="s">
        <v>26</v>
      </c>
      <c r="H404" s="2">
        <v>3503</v>
      </c>
      <c r="I404" s="19">
        <v>1624</v>
      </c>
    </row>
    <row r="405" spans="1:9" x14ac:dyDescent="0.25">
      <c r="A405" s="18" t="s">
        <v>859</v>
      </c>
      <c r="B405" s="11">
        <v>44099</v>
      </c>
      <c r="C405" s="3" t="s">
        <v>860</v>
      </c>
      <c r="D405" s="3" t="s">
        <v>43</v>
      </c>
      <c r="E405" s="3" t="s">
        <v>44</v>
      </c>
      <c r="F405" s="3" t="s">
        <v>60</v>
      </c>
      <c r="G405" s="3" t="s">
        <v>14</v>
      </c>
      <c r="H405" s="4">
        <v>1538</v>
      </c>
      <c r="I405" s="20">
        <v>900</v>
      </c>
    </row>
    <row r="406" spans="1:9" x14ac:dyDescent="0.25">
      <c r="A406" s="17" t="s">
        <v>861</v>
      </c>
      <c r="B406" s="10">
        <v>43763</v>
      </c>
      <c r="C406" s="1" t="s">
        <v>862</v>
      </c>
      <c r="D406" s="1" t="s">
        <v>38</v>
      </c>
      <c r="E406" s="1" t="s">
        <v>179</v>
      </c>
      <c r="F406" s="1" t="s">
        <v>180</v>
      </c>
      <c r="G406" s="1" t="s">
        <v>14</v>
      </c>
      <c r="H406" s="2">
        <v>4885</v>
      </c>
      <c r="I406" s="19">
        <v>2277</v>
      </c>
    </row>
    <row r="407" spans="1:9" x14ac:dyDescent="0.25">
      <c r="A407" s="18" t="s">
        <v>863</v>
      </c>
      <c r="B407" s="11">
        <v>43763</v>
      </c>
      <c r="C407" s="3" t="s">
        <v>864</v>
      </c>
      <c r="D407" s="3" t="s">
        <v>43</v>
      </c>
      <c r="E407" s="3" t="s">
        <v>83</v>
      </c>
      <c r="F407" s="3" t="s">
        <v>84</v>
      </c>
      <c r="G407" s="3" t="s">
        <v>14</v>
      </c>
      <c r="H407" s="4">
        <v>5811</v>
      </c>
      <c r="I407" s="20">
        <v>4115</v>
      </c>
    </row>
    <row r="408" spans="1:9" x14ac:dyDescent="0.25">
      <c r="A408" s="17" t="s">
        <v>865</v>
      </c>
      <c r="B408" s="10">
        <v>43429</v>
      </c>
      <c r="C408" s="1" t="s">
        <v>866</v>
      </c>
      <c r="D408" s="1" t="s">
        <v>38</v>
      </c>
      <c r="E408" s="1" t="s">
        <v>179</v>
      </c>
      <c r="F408" s="1" t="s">
        <v>180</v>
      </c>
      <c r="G408" s="1" t="s">
        <v>14</v>
      </c>
      <c r="H408" s="2">
        <v>2251</v>
      </c>
      <c r="I408" s="19">
        <v>1652</v>
      </c>
    </row>
    <row r="409" spans="1:9" x14ac:dyDescent="0.25">
      <c r="A409" s="18" t="s">
        <v>867</v>
      </c>
      <c r="B409" s="11">
        <v>44160</v>
      </c>
      <c r="C409" s="3" t="s">
        <v>802</v>
      </c>
      <c r="D409" s="3" t="s">
        <v>29</v>
      </c>
      <c r="E409" s="3" t="s">
        <v>30</v>
      </c>
      <c r="F409" s="3" t="s">
        <v>30</v>
      </c>
      <c r="G409" s="3" t="s">
        <v>26</v>
      </c>
      <c r="H409" s="4">
        <v>2646</v>
      </c>
      <c r="I409" s="20">
        <v>1763</v>
      </c>
    </row>
    <row r="410" spans="1:9" x14ac:dyDescent="0.25">
      <c r="A410" s="17" t="s">
        <v>868</v>
      </c>
      <c r="B410" s="10">
        <v>43459</v>
      </c>
      <c r="C410" s="1" t="s">
        <v>869</v>
      </c>
      <c r="D410" s="1" t="s">
        <v>33</v>
      </c>
      <c r="E410" s="1" t="s">
        <v>34</v>
      </c>
      <c r="F410" s="1" t="s">
        <v>135</v>
      </c>
      <c r="G410" s="1" t="s">
        <v>26</v>
      </c>
      <c r="H410" s="2">
        <v>2604</v>
      </c>
      <c r="I410" s="19">
        <v>1221</v>
      </c>
    </row>
    <row r="411" spans="1:9" x14ac:dyDescent="0.25">
      <c r="A411" s="18" t="s">
        <v>870</v>
      </c>
      <c r="B411" s="11">
        <v>43856</v>
      </c>
      <c r="C411" s="3" t="s">
        <v>871</v>
      </c>
      <c r="D411" s="3" t="s">
        <v>11</v>
      </c>
      <c r="E411" s="3" t="s">
        <v>12</v>
      </c>
      <c r="F411" s="3" t="s">
        <v>12</v>
      </c>
      <c r="G411" s="3" t="s">
        <v>14</v>
      </c>
      <c r="H411" s="4">
        <v>4048</v>
      </c>
      <c r="I411" s="20">
        <v>1952</v>
      </c>
    </row>
    <row r="412" spans="1:9" x14ac:dyDescent="0.25">
      <c r="A412" s="17" t="s">
        <v>872</v>
      </c>
      <c r="B412" s="10">
        <v>43856</v>
      </c>
      <c r="C412" s="1" t="s">
        <v>873</v>
      </c>
      <c r="D412" s="1" t="s">
        <v>43</v>
      </c>
      <c r="E412" s="1" t="s">
        <v>83</v>
      </c>
      <c r="F412" s="1" t="s">
        <v>84</v>
      </c>
      <c r="G412" s="1" t="s">
        <v>14</v>
      </c>
      <c r="H412" s="2">
        <v>4033</v>
      </c>
      <c r="I412" s="19">
        <v>2296</v>
      </c>
    </row>
    <row r="413" spans="1:9" x14ac:dyDescent="0.25">
      <c r="A413" s="18" t="s">
        <v>874</v>
      </c>
      <c r="B413" s="11">
        <v>43887</v>
      </c>
      <c r="C413" s="3" t="s">
        <v>875</v>
      </c>
      <c r="D413" s="3" t="s">
        <v>17</v>
      </c>
      <c r="E413" s="3" t="s">
        <v>18</v>
      </c>
      <c r="F413" s="3" t="s">
        <v>278</v>
      </c>
      <c r="G413" s="3" t="s">
        <v>20</v>
      </c>
      <c r="H413" s="4">
        <v>1545</v>
      </c>
      <c r="I413" s="20">
        <v>1108</v>
      </c>
    </row>
    <row r="414" spans="1:9" x14ac:dyDescent="0.25">
      <c r="A414" s="17" t="s">
        <v>876</v>
      </c>
      <c r="B414" s="10">
        <v>43887</v>
      </c>
      <c r="C414" s="1" t="s">
        <v>877</v>
      </c>
      <c r="D414" s="1" t="s">
        <v>33</v>
      </c>
      <c r="E414" s="1" t="s">
        <v>34</v>
      </c>
      <c r="F414" s="1" t="s">
        <v>35</v>
      </c>
      <c r="G414" s="1" t="s">
        <v>26</v>
      </c>
      <c r="H414" s="2">
        <v>4904</v>
      </c>
      <c r="I414" s="19">
        <v>3251</v>
      </c>
    </row>
    <row r="415" spans="1:9" x14ac:dyDescent="0.25">
      <c r="A415" s="18" t="s">
        <v>878</v>
      </c>
      <c r="B415" s="11">
        <v>43916</v>
      </c>
      <c r="C415" s="3" t="s">
        <v>879</v>
      </c>
      <c r="D415" s="3" t="s">
        <v>33</v>
      </c>
      <c r="E415" s="3" t="s">
        <v>149</v>
      </c>
      <c r="F415" s="3" t="s">
        <v>150</v>
      </c>
      <c r="G415" s="3" t="s">
        <v>26</v>
      </c>
      <c r="H415" s="4">
        <v>4580</v>
      </c>
      <c r="I415" s="20">
        <v>2446</v>
      </c>
    </row>
    <row r="416" spans="1:9" x14ac:dyDescent="0.25">
      <c r="A416" s="17" t="s">
        <v>880</v>
      </c>
      <c r="B416" s="10">
        <v>43246</v>
      </c>
      <c r="C416" s="1" t="s">
        <v>881</v>
      </c>
      <c r="D416" s="1" t="s">
        <v>48</v>
      </c>
      <c r="E416" s="1" t="s">
        <v>348</v>
      </c>
      <c r="F416" s="1" t="s">
        <v>349</v>
      </c>
      <c r="G416" s="1" t="s">
        <v>26</v>
      </c>
      <c r="H416" s="2">
        <v>4668</v>
      </c>
      <c r="I416" s="19">
        <v>3306</v>
      </c>
    </row>
    <row r="417" spans="1:9" x14ac:dyDescent="0.25">
      <c r="A417" s="18" t="s">
        <v>882</v>
      </c>
      <c r="B417" s="11">
        <v>43611</v>
      </c>
      <c r="C417" s="3" t="s">
        <v>883</v>
      </c>
      <c r="D417" s="3" t="s">
        <v>43</v>
      </c>
      <c r="E417" s="3" t="s">
        <v>44</v>
      </c>
      <c r="F417" s="3" t="s">
        <v>45</v>
      </c>
      <c r="G417" s="3" t="s">
        <v>14</v>
      </c>
      <c r="H417" s="4">
        <v>5125</v>
      </c>
      <c r="I417" s="20">
        <v>3248</v>
      </c>
    </row>
    <row r="418" spans="1:9" x14ac:dyDescent="0.25">
      <c r="A418" s="17" t="s">
        <v>884</v>
      </c>
      <c r="B418" s="10">
        <v>43977</v>
      </c>
      <c r="C418" s="1" t="s">
        <v>885</v>
      </c>
      <c r="D418" s="1" t="s">
        <v>43</v>
      </c>
      <c r="E418" s="1" t="s">
        <v>83</v>
      </c>
      <c r="F418" s="1" t="s">
        <v>84</v>
      </c>
      <c r="G418" s="1" t="s">
        <v>14</v>
      </c>
      <c r="H418" s="2">
        <v>1986</v>
      </c>
      <c r="I418" s="19">
        <v>1233</v>
      </c>
    </row>
    <row r="419" spans="1:9" x14ac:dyDescent="0.25">
      <c r="A419" s="18" t="s">
        <v>886</v>
      </c>
      <c r="B419" s="11">
        <v>44008</v>
      </c>
      <c r="C419" s="3" t="s">
        <v>887</v>
      </c>
      <c r="D419" s="3" t="s">
        <v>72</v>
      </c>
      <c r="E419" s="3" t="s">
        <v>73</v>
      </c>
      <c r="F419" s="3" t="s">
        <v>74</v>
      </c>
      <c r="G419" s="3" t="s">
        <v>20</v>
      </c>
      <c r="H419" s="4">
        <v>3039</v>
      </c>
      <c r="I419" s="20">
        <v>1770</v>
      </c>
    </row>
    <row r="420" spans="1:9" x14ac:dyDescent="0.25">
      <c r="A420" s="17" t="s">
        <v>888</v>
      </c>
      <c r="B420" s="10">
        <v>43307</v>
      </c>
      <c r="C420" s="1" t="s">
        <v>889</v>
      </c>
      <c r="D420" s="1" t="s">
        <v>33</v>
      </c>
      <c r="E420" s="1" t="s">
        <v>149</v>
      </c>
      <c r="F420" s="1" t="s">
        <v>155</v>
      </c>
      <c r="G420" s="1" t="s">
        <v>26</v>
      </c>
      <c r="H420" s="2">
        <v>1862</v>
      </c>
      <c r="I420" s="19">
        <v>1062</v>
      </c>
    </row>
    <row r="421" spans="1:9" x14ac:dyDescent="0.25">
      <c r="A421" s="18" t="s">
        <v>890</v>
      </c>
      <c r="B421" s="11">
        <v>43307</v>
      </c>
      <c r="C421" s="3" t="s">
        <v>891</v>
      </c>
      <c r="D421" s="3" t="s">
        <v>72</v>
      </c>
      <c r="E421" s="3" t="s">
        <v>172</v>
      </c>
      <c r="F421" s="3" t="s">
        <v>173</v>
      </c>
      <c r="G421" s="3" t="s">
        <v>20</v>
      </c>
      <c r="H421" s="4">
        <v>2359</v>
      </c>
      <c r="I421" s="20">
        <v>1423</v>
      </c>
    </row>
    <row r="422" spans="1:9" x14ac:dyDescent="0.25">
      <c r="A422" s="17" t="s">
        <v>892</v>
      </c>
      <c r="B422" s="10">
        <v>43672</v>
      </c>
      <c r="C422" s="1" t="s">
        <v>893</v>
      </c>
      <c r="D422" s="1" t="s">
        <v>38</v>
      </c>
      <c r="E422" s="1" t="s">
        <v>39</v>
      </c>
      <c r="F422" s="1" t="s">
        <v>132</v>
      </c>
      <c r="G422" s="1" t="s">
        <v>14</v>
      </c>
      <c r="H422" s="2">
        <v>1726</v>
      </c>
      <c r="I422" s="19">
        <v>836</v>
      </c>
    </row>
    <row r="423" spans="1:9" x14ac:dyDescent="0.25">
      <c r="A423" s="18" t="s">
        <v>894</v>
      </c>
      <c r="B423" s="11">
        <v>44038</v>
      </c>
      <c r="C423" s="3" t="s">
        <v>821</v>
      </c>
      <c r="D423" s="3" t="s">
        <v>17</v>
      </c>
      <c r="E423" s="3" t="s">
        <v>18</v>
      </c>
      <c r="F423" s="3" t="s">
        <v>19</v>
      </c>
      <c r="G423" s="3" t="s">
        <v>20</v>
      </c>
      <c r="H423" s="4">
        <v>1843</v>
      </c>
      <c r="I423" s="20">
        <v>1003</v>
      </c>
    </row>
    <row r="424" spans="1:9" x14ac:dyDescent="0.25">
      <c r="A424" s="17" t="s">
        <v>895</v>
      </c>
      <c r="B424" s="10">
        <v>43369</v>
      </c>
      <c r="C424" s="1" t="s">
        <v>896</v>
      </c>
      <c r="D424" s="1" t="s">
        <v>72</v>
      </c>
      <c r="E424" s="1" t="s">
        <v>73</v>
      </c>
      <c r="F424" s="1" t="s">
        <v>402</v>
      </c>
      <c r="G424" s="1" t="s">
        <v>20</v>
      </c>
      <c r="H424" s="2">
        <v>2094</v>
      </c>
      <c r="I424" s="19">
        <v>948</v>
      </c>
    </row>
    <row r="425" spans="1:9" x14ac:dyDescent="0.25">
      <c r="A425" s="18" t="s">
        <v>897</v>
      </c>
      <c r="B425" s="11">
        <v>43369</v>
      </c>
      <c r="C425" s="3" t="s">
        <v>898</v>
      </c>
      <c r="D425" s="3" t="s">
        <v>33</v>
      </c>
      <c r="E425" s="3" t="s">
        <v>149</v>
      </c>
      <c r="F425" s="3" t="s">
        <v>155</v>
      </c>
      <c r="G425" s="3" t="s">
        <v>26</v>
      </c>
      <c r="H425" s="4">
        <v>3460</v>
      </c>
      <c r="I425" s="20">
        <v>2293</v>
      </c>
    </row>
    <row r="426" spans="1:9" x14ac:dyDescent="0.25">
      <c r="A426" s="17" t="s">
        <v>899</v>
      </c>
      <c r="B426" s="10">
        <v>43369</v>
      </c>
      <c r="C426" s="1" t="s">
        <v>900</v>
      </c>
      <c r="D426" s="1" t="s">
        <v>29</v>
      </c>
      <c r="E426" s="1" t="s">
        <v>30</v>
      </c>
      <c r="F426" s="1" t="s">
        <v>30</v>
      </c>
      <c r="G426" s="1" t="s">
        <v>26</v>
      </c>
      <c r="H426" s="2">
        <v>4503</v>
      </c>
      <c r="I426" s="19">
        <v>2986</v>
      </c>
    </row>
    <row r="427" spans="1:9" x14ac:dyDescent="0.25">
      <c r="A427" s="18" t="s">
        <v>901</v>
      </c>
      <c r="B427" s="11">
        <v>44130</v>
      </c>
      <c r="C427" s="3" t="s">
        <v>902</v>
      </c>
      <c r="D427" s="3" t="s">
        <v>29</v>
      </c>
      <c r="E427" s="3" t="s">
        <v>30</v>
      </c>
      <c r="F427" s="3" t="s">
        <v>30</v>
      </c>
      <c r="G427" s="3" t="s">
        <v>26</v>
      </c>
      <c r="H427" s="4">
        <v>2061</v>
      </c>
      <c r="I427" s="20">
        <v>1295</v>
      </c>
    </row>
    <row r="428" spans="1:9" x14ac:dyDescent="0.25">
      <c r="A428" s="17" t="s">
        <v>903</v>
      </c>
      <c r="B428" s="10">
        <v>44130</v>
      </c>
      <c r="C428" s="1" t="s">
        <v>281</v>
      </c>
      <c r="D428" s="1" t="s">
        <v>43</v>
      </c>
      <c r="E428" s="1" t="s">
        <v>83</v>
      </c>
      <c r="F428" s="1" t="s">
        <v>84</v>
      </c>
      <c r="G428" s="1" t="s">
        <v>14</v>
      </c>
      <c r="H428" s="2">
        <v>3548</v>
      </c>
      <c r="I428" s="19">
        <v>1652</v>
      </c>
    </row>
    <row r="429" spans="1:9" x14ac:dyDescent="0.25">
      <c r="A429" s="18" t="s">
        <v>904</v>
      </c>
      <c r="B429" s="11">
        <v>43795</v>
      </c>
      <c r="C429" s="3" t="s">
        <v>905</v>
      </c>
      <c r="D429" s="3" t="s">
        <v>43</v>
      </c>
      <c r="E429" s="3" t="s">
        <v>83</v>
      </c>
      <c r="F429" s="3" t="s">
        <v>160</v>
      </c>
      <c r="G429" s="3" t="s">
        <v>14</v>
      </c>
      <c r="H429" s="4">
        <v>5596</v>
      </c>
      <c r="I429" s="20">
        <v>2585</v>
      </c>
    </row>
    <row r="430" spans="1:9" x14ac:dyDescent="0.25">
      <c r="A430" s="17" t="s">
        <v>906</v>
      </c>
      <c r="B430" s="10">
        <v>43460</v>
      </c>
      <c r="C430" s="1" t="s">
        <v>907</v>
      </c>
      <c r="D430" s="1" t="s">
        <v>72</v>
      </c>
      <c r="E430" s="1" t="s">
        <v>172</v>
      </c>
      <c r="F430" s="1" t="s">
        <v>192</v>
      </c>
      <c r="G430" s="1" t="s">
        <v>20</v>
      </c>
      <c r="H430" s="2">
        <v>1514</v>
      </c>
      <c r="I430" s="19">
        <v>1112</v>
      </c>
    </row>
    <row r="431" spans="1:9" x14ac:dyDescent="0.25">
      <c r="A431" s="18" t="s">
        <v>908</v>
      </c>
      <c r="B431" s="11">
        <v>44191</v>
      </c>
      <c r="C431" s="3" t="s">
        <v>909</v>
      </c>
      <c r="D431" s="3" t="s">
        <v>38</v>
      </c>
      <c r="E431" s="3" t="s">
        <v>179</v>
      </c>
      <c r="F431" s="3" t="s">
        <v>180</v>
      </c>
      <c r="G431" s="3" t="s">
        <v>14</v>
      </c>
      <c r="H431" s="4">
        <v>3897</v>
      </c>
      <c r="I431" s="20">
        <v>2091</v>
      </c>
    </row>
    <row r="432" spans="1:9" x14ac:dyDescent="0.25">
      <c r="A432" s="17" t="s">
        <v>910</v>
      </c>
      <c r="B432" s="10">
        <v>43492</v>
      </c>
      <c r="C432" s="1" t="s">
        <v>911</v>
      </c>
      <c r="D432" s="1" t="s">
        <v>29</v>
      </c>
      <c r="E432" s="1" t="s">
        <v>30</v>
      </c>
      <c r="F432" s="1" t="s">
        <v>30</v>
      </c>
      <c r="G432" s="1" t="s">
        <v>26</v>
      </c>
      <c r="H432" s="2">
        <v>2519</v>
      </c>
      <c r="I432" s="19">
        <v>1737</v>
      </c>
    </row>
    <row r="433" spans="1:9" x14ac:dyDescent="0.25">
      <c r="A433" s="18" t="s">
        <v>912</v>
      </c>
      <c r="B433" s="11">
        <v>43582</v>
      </c>
      <c r="C433" s="3" t="s">
        <v>913</v>
      </c>
      <c r="D433" s="3" t="s">
        <v>11</v>
      </c>
      <c r="E433" s="3" t="s">
        <v>12</v>
      </c>
      <c r="F433" s="3" t="s">
        <v>12</v>
      </c>
      <c r="G433" s="3" t="s">
        <v>14</v>
      </c>
      <c r="H433" s="4">
        <v>2171</v>
      </c>
      <c r="I433" s="20">
        <v>1249</v>
      </c>
    </row>
    <row r="434" spans="1:9" x14ac:dyDescent="0.25">
      <c r="A434" s="17" t="s">
        <v>914</v>
      </c>
      <c r="B434" s="10">
        <v>43948</v>
      </c>
      <c r="C434" s="1" t="s">
        <v>915</v>
      </c>
      <c r="D434" s="1" t="s">
        <v>23</v>
      </c>
      <c r="E434" s="1" t="s">
        <v>119</v>
      </c>
      <c r="F434" s="1" t="s">
        <v>119</v>
      </c>
      <c r="G434" s="1" t="s">
        <v>26</v>
      </c>
      <c r="H434" s="2">
        <v>4060</v>
      </c>
      <c r="I434" s="19">
        <v>2346</v>
      </c>
    </row>
    <row r="435" spans="1:9" x14ac:dyDescent="0.25">
      <c r="A435" s="18" t="s">
        <v>916</v>
      </c>
      <c r="B435" s="11">
        <v>43247</v>
      </c>
      <c r="C435" s="3" t="s">
        <v>22</v>
      </c>
      <c r="D435" s="3" t="s">
        <v>72</v>
      </c>
      <c r="E435" s="3" t="s">
        <v>87</v>
      </c>
      <c r="F435" s="3" t="s">
        <v>88</v>
      </c>
      <c r="G435" s="3" t="s">
        <v>20</v>
      </c>
      <c r="H435" s="4">
        <v>2518</v>
      </c>
      <c r="I435" s="20">
        <v>1487</v>
      </c>
    </row>
    <row r="436" spans="1:9" x14ac:dyDescent="0.25">
      <c r="A436" s="17" t="s">
        <v>917</v>
      </c>
      <c r="B436" s="10">
        <v>43978</v>
      </c>
      <c r="C436" s="1" t="s">
        <v>918</v>
      </c>
      <c r="D436" s="1" t="s">
        <v>91</v>
      </c>
      <c r="E436" s="1" t="s">
        <v>115</v>
      </c>
      <c r="F436" s="1" t="s">
        <v>408</v>
      </c>
      <c r="G436" s="1" t="s">
        <v>26</v>
      </c>
      <c r="H436" s="2">
        <v>4295</v>
      </c>
      <c r="I436" s="19">
        <v>1949</v>
      </c>
    </row>
    <row r="437" spans="1:9" x14ac:dyDescent="0.25">
      <c r="A437" s="18" t="s">
        <v>919</v>
      </c>
      <c r="B437" s="11">
        <v>43643</v>
      </c>
      <c r="C437" s="3" t="s">
        <v>920</v>
      </c>
      <c r="D437" s="3" t="s">
        <v>11</v>
      </c>
      <c r="E437" s="3" t="s">
        <v>128</v>
      </c>
      <c r="F437" s="3" t="s">
        <v>129</v>
      </c>
      <c r="G437" s="3" t="s">
        <v>14</v>
      </c>
      <c r="H437" s="4">
        <v>5579</v>
      </c>
      <c r="I437" s="20">
        <v>3998</v>
      </c>
    </row>
    <row r="438" spans="1:9" x14ac:dyDescent="0.25">
      <c r="A438" s="17" t="s">
        <v>921</v>
      </c>
      <c r="B438" s="10">
        <v>43643</v>
      </c>
      <c r="C438" s="1" t="s">
        <v>922</v>
      </c>
      <c r="D438" s="1" t="s">
        <v>43</v>
      </c>
      <c r="E438" s="1" t="s">
        <v>44</v>
      </c>
      <c r="F438" s="1" t="s">
        <v>60</v>
      </c>
      <c r="G438" s="1" t="s">
        <v>14</v>
      </c>
      <c r="H438" s="2">
        <v>3261</v>
      </c>
      <c r="I438" s="19">
        <v>2285</v>
      </c>
    </row>
    <row r="439" spans="1:9" x14ac:dyDescent="0.25">
      <c r="A439" s="18" t="s">
        <v>923</v>
      </c>
      <c r="B439" s="11">
        <v>44009</v>
      </c>
      <c r="C439" s="3" t="s">
        <v>924</v>
      </c>
      <c r="D439" s="3" t="s">
        <v>48</v>
      </c>
      <c r="E439" s="3" t="s">
        <v>49</v>
      </c>
      <c r="F439" s="3" t="s">
        <v>50</v>
      </c>
      <c r="G439" s="3" t="s">
        <v>26</v>
      </c>
      <c r="H439" s="4">
        <v>2533</v>
      </c>
      <c r="I439" s="20">
        <v>1348</v>
      </c>
    </row>
    <row r="440" spans="1:9" x14ac:dyDescent="0.25">
      <c r="A440" s="17" t="s">
        <v>925</v>
      </c>
      <c r="B440" s="10">
        <v>43308</v>
      </c>
      <c r="C440" s="1" t="s">
        <v>926</v>
      </c>
      <c r="D440" s="1" t="s">
        <v>17</v>
      </c>
      <c r="E440" s="1" t="s">
        <v>145</v>
      </c>
      <c r="F440" s="1" t="s">
        <v>146</v>
      </c>
      <c r="G440" s="1" t="s">
        <v>20</v>
      </c>
      <c r="H440" s="2">
        <v>3663</v>
      </c>
      <c r="I440" s="19">
        <v>2158</v>
      </c>
    </row>
    <row r="441" spans="1:9" x14ac:dyDescent="0.25">
      <c r="A441" s="18" t="s">
        <v>927</v>
      </c>
      <c r="B441" s="11">
        <v>43673</v>
      </c>
      <c r="C441" s="3" t="s">
        <v>754</v>
      </c>
      <c r="D441" s="3" t="s">
        <v>11</v>
      </c>
      <c r="E441" s="3" t="s">
        <v>12</v>
      </c>
      <c r="F441" s="3" t="s">
        <v>12</v>
      </c>
      <c r="G441" s="3" t="s">
        <v>14</v>
      </c>
      <c r="H441" s="4">
        <v>2292</v>
      </c>
      <c r="I441" s="20">
        <v>1302</v>
      </c>
    </row>
    <row r="442" spans="1:9" x14ac:dyDescent="0.25">
      <c r="A442" s="17" t="s">
        <v>928</v>
      </c>
      <c r="B442" s="10">
        <v>43370</v>
      </c>
      <c r="C442" s="1" t="s">
        <v>850</v>
      </c>
      <c r="D442" s="1" t="s">
        <v>48</v>
      </c>
      <c r="E442" s="1" t="s">
        <v>348</v>
      </c>
      <c r="F442" s="1" t="s">
        <v>349</v>
      </c>
      <c r="G442" s="1" t="s">
        <v>26</v>
      </c>
      <c r="H442" s="2">
        <v>3144</v>
      </c>
      <c r="I442" s="19">
        <v>1539</v>
      </c>
    </row>
    <row r="443" spans="1:9" x14ac:dyDescent="0.25">
      <c r="A443" s="18" t="s">
        <v>929</v>
      </c>
      <c r="B443" s="11">
        <v>44101</v>
      </c>
      <c r="C443" s="3" t="s">
        <v>930</v>
      </c>
      <c r="D443" s="3" t="s">
        <v>33</v>
      </c>
      <c r="E443" s="3" t="s">
        <v>34</v>
      </c>
      <c r="F443" s="3" t="s">
        <v>135</v>
      </c>
      <c r="G443" s="3" t="s">
        <v>26</v>
      </c>
      <c r="H443" s="4">
        <v>4385</v>
      </c>
      <c r="I443" s="20">
        <v>2195</v>
      </c>
    </row>
    <row r="444" spans="1:9" x14ac:dyDescent="0.25">
      <c r="A444" s="17" t="s">
        <v>931</v>
      </c>
      <c r="B444" s="10">
        <v>44101</v>
      </c>
      <c r="C444" s="1" t="s">
        <v>932</v>
      </c>
      <c r="D444" s="1" t="s">
        <v>29</v>
      </c>
      <c r="E444" s="1" t="s">
        <v>30</v>
      </c>
      <c r="F444" s="1" t="s">
        <v>30</v>
      </c>
      <c r="G444" s="1" t="s">
        <v>26</v>
      </c>
      <c r="H444" s="2">
        <v>1897</v>
      </c>
      <c r="I444" s="19">
        <v>1288</v>
      </c>
    </row>
    <row r="445" spans="1:9" x14ac:dyDescent="0.25">
      <c r="A445" s="18" t="s">
        <v>933</v>
      </c>
      <c r="B445" s="11">
        <v>43400</v>
      </c>
      <c r="C445" s="3" t="s">
        <v>934</v>
      </c>
      <c r="D445" s="3" t="s">
        <v>72</v>
      </c>
      <c r="E445" s="3" t="s">
        <v>79</v>
      </c>
      <c r="F445" s="3" t="s">
        <v>110</v>
      </c>
      <c r="G445" s="3" t="s">
        <v>20</v>
      </c>
      <c r="H445" s="4">
        <v>5123</v>
      </c>
      <c r="I445" s="20">
        <v>3313</v>
      </c>
    </row>
    <row r="446" spans="1:9" x14ac:dyDescent="0.25">
      <c r="A446" s="17" t="s">
        <v>935</v>
      </c>
      <c r="B446" s="10">
        <v>43765</v>
      </c>
      <c r="C446" s="1" t="s">
        <v>423</v>
      </c>
      <c r="D446" s="1" t="s">
        <v>11</v>
      </c>
      <c r="E446" s="1" t="s">
        <v>12</v>
      </c>
      <c r="F446" s="1" t="s">
        <v>12</v>
      </c>
      <c r="G446" s="1" t="s">
        <v>14</v>
      </c>
      <c r="H446" s="2">
        <v>2774</v>
      </c>
      <c r="I446" s="19">
        <v>1379</v>
      </c>
    </row>
    <row r="447" spans="1:9" x14ac:dyDescent="0.25">
      <c r="A447" s="18" t="s">
        <v>936</v>
      </c>
      <c r="B447" s="11">
        <v>43796</v>
      </c>
      <c r="C447" s="3" t="s">
        <v>937</v>
      </c>
      <c r="D447" s="3" t="s">
        <v>43</v>
      </c>
      <c r="E447" s="3" t="s">
        <v>83</v>
      </c>
      <c r="F447" s="3" t="s">
        <v>84</v>
      </c>
      <c r="G447" s="3" t="s">
        <v>14</v>
      </c>
      <c r="H447" s="4">
        <v>5846</v>
      </c>
      <c r="I447" s="20">
        <v>3525</v>
      </c>
    </row>
    <row r="448" spans="1:9" x14ac:dyDescent="0.25">
      <c r="A448" s="17" t="s">
        <v>938</v>
      </c>
      <c r="B448" s="10">
        <v>44162</v>
      </c>
      <c r="C448" s="1" t="s">
        <v>939</v>
      </c>
      <c r="D448" s="1" t="s">
        <v>33</v>
      </c>
      <c r="E448" s="1" t="s">
        <v>34</v>
      </c>
      <c r="F448" s="1" t="s">
        <v>135</v>
      </c>
      <c r="G448" s="1" t="s">
        <v>26</v>
      </c>
      <c r="H448" s="2">
        <v>3167</v>
      </c>
      <c r="I448" s="19">
        <v>1678</v>
      </c>
    </row>
    <row r="449" spans="1:9" x14ac:dyDescent="0.25">
      <c r="A449" s="18" t="s">
        <v>940</v>
      </c>
      <c r="B449" s="11">
        <v>43461</v>
      </c>
      <c r="C449" s="3" t="s">
        <v>941</v>
      </c>
      <c r="D449" s="3" t="s">
        <v>33</v>
      </c>
      <c r="E449" s="3" t="s">
        <v>149</v>
      </c>
      <c r="F449" s="3" t="s">
        <v>150</v>
      </c>
      <c r="G449" s="3" t="s">
        <v>26</v>
      </c>
      <c r="H449" s="4">
        <v>1806</v>
      </c>
      <c r="I449" s="20">
        <v>817</v>
      </c>
    </row>
    <row r="450" spans="1:9" x14ac:dyDescent="0.25">
      <c r="A450" s="17" t="s">
        <v>942</v>
      </c>
      <c r="B450" s="10">
        <v>43826</v>
      </c>
      <c r="C450" s="1" t="s">
        <v>295</v>
      </c>
      <c r="D450" s="1" t="s">
        <v>72</v>
      </c>
      <c r="E450" s="1" t="s">
        <v>73</v>
      </c>
      <c r="F450" s="1" t="s">
        <v>74</v>
      </c>
      <c r="G450" s="1" t="s">
        <v>20</v>
      </c>
      <c r="H450" s="2">
        <v>3519</v>
      </c>
      <c r="I450" s="19">
        <v>1878</v>
      </c>
    </row>
    <row r="451" spans="1:9" x14ac:dyDescent="0.25">
      <c r="A451" s="18" t="s">
        <v>943</v>
      </c>
      <c r="B451" s="11">
        <v>43552</v>
      </c>
      <c r="C451" s="3" t="s">
        <v>399</v>
      </c>
      <c r="D451" s="3" t="s">
        <v>72</v>
      </c>
      <c r="E451" s="3" t="s">
        <v>73</v>
      </c>
      <c r="F451" s="3" t="s">
        <v>402</v>
      </c>
      <c r="G451" s="3" t="s">
        <v>20</v>
      </c>
      <c r="H451" s="4">
        <v>1737</v>
      </c>
      <c r="I451" s="20">
        <v>984</v>
      </c>
    </row>
    <row r="452" spans="1:9" x14ac:dyDescent="0.25">
      <c r="A452" s="17" t="s">
        <v>944</v>
      </c>
      <c r="B452" s="10">
        <v>43583</v>
      </c>
      <c r="C452" s="1" t="s">
        <v>945</v>
      </c>
      <c r="D452" s="1" t="s">
        <v>48</v>
      </c>
      <c r="E452" s="1" t="s">
        <v>49</v>
      </c>
      <c r="F452" s="1" t="s">
        <v>50</v>
      </c>
      <c r="G452" s="1" t="s">
        <v>26</v>
      </c>
      <c r="H452" s="2">
        <v>4110</v>
      </c>
      <c r="I452" s="19">
        <v>2997</v>
      </c>
    </row>
    <row r="453" spans="1:9" x14ac:dyDescent="0.25">
      <c r="A453" s="18" t="s">
        <v>946</v>
      </c>
      <c r="B453" s="11">
        <v>43949</v>
      </c>
      <c r="C453" s="3" t="s">
        <v>947</v>
      </c>
      <c r="D453" s="3" t="s">
        <v>38</v>
      </c>
      <c r="E453" s="3" t="s">
        <v>179</v>
      </c>
      <c r="F453" s="3" t="s">
        <v>180</v>
      </c>
      <c r="G453" s="3" t="s">
        <v>14</v>
      </c>
      <c r="H453" s="4">
        <v>5021</v>
      </c>
      <c r="I453" s="20">
        <v>2426</v>
      </c>
    </row>
    <row r="454" spans="1:9" x14ac:dyDescent="0.25">
      <c r="A454" s="17" t="s">
        <v>948</v>
      </c>
      <c r="B454" s="10">
        <v>43279</v>
      </c>
      <c r="C454" s="1" t="s">
        <v>949</v>
      </c>
      <c r="D454" s="1" t="s">
        <v>29</v>
      </c>
      <c r="E454" s="1" t="s">
        <v>30</v>
      </c>
      <c r="F454" s="1" t="s">
        <v>30</v>
      </c>
      <c r="G454" s="1" t="s">
        <v>26</v>
      </c>
      <c r="H454" s="2">
        <v>3291</v>
      </c>
      <c r="I454" s="19">
        <v>1710</v>
      </c>
    </row>
    <row r="455" spans="1:9" x14ac:dyDescent="0.25">
      <c r="A455" s="18" t="s">
        <v>950</v>
      </c>
      <c r="B455" s="11">
        <v>43279</v>
      </c>
      <c r="C455" s="3" t="s">
        <v>56</v>
      </c>
      <c r="D455" s="3" t="s">
        <v>17</v>
      </c>
      <c r="E455" s="3" t="s">
        <v>18</v>
      </c>
      <c r="F455" s="3" t="s">
        <v>278</v>
      </c>
      <c r="G455" s="3" t="s">
        <v>20</v>
      </c>
      <c r="H455" s="4">
        <v>4372</v>
      </c>
      <c r="I455" s="20">
        <v>3096</v>
      </c>
    </row>
    <row r="456" spans="1:9" x14ac:dyDescent="0.25">
      <c r="A456" s="17" t="s">
        <v>951</v>
      </c>
      <c r="B456" s="10">
        <v>44010</v>
      </c>
      <c r="C456" s="1" t="s">
        <v>952</v>
      </c>
      <c r="D456" s="1" t="s">
        <v>91</v>
      </c>
      <c r="E456" s="1" t="s">
        <v>115</v>
      </c>
      <c r="F456" s="1" t="s">
        <v>116</v>
      </c>
      <c r="G456" s="1" t="s">
        <v>26</v>
      </c>
      <c r="H456" s="2">
        <v>3306</v>
      </c>
      <c r="I456" s="19">
        <v>1777</v>
      </c>
    </row>
    <row r="457" spans="1:9" x14ac:dyDescent="0.25">
      <c r="A457" s="18" t="s">
        <v>953</v>
      </c>
      <c r="B457" s="11">
        <v>43309</v>
      </c>
      <c r="C457" s="3" t="s">
        <v>954</v>
      </c>
      <c r="D457" s="3" t="s">
        <v>29</v>
      </c>
      <c r="E457" s="3" t="s">
        <v>30</v>
      </c>
      <c r="F457" s="3" t="s">
        <v>30</v>
      </c>
      <c r="G457" s="3" t="s">
        <v>26</v>
      </c>
      <c r="H457" s="4">
        <v>2570</v>
      </c>
      <c r="I457" s="20">
        <v>1309</v>
      </c>
    </row>
    <row r="458" spans="1:9" x14ac:dyDescent="0.25">
      <c r="A458" s="17" t="s">
        <v>955</v>
      </c>
      <c r="B458" s="10">
        <v>43705</v>
      </c>
      <c r="C458" s="1" t="s">
        <v>956</v>
      </c>
      <c r="D458" s="1" t="s">
        <v>23</v>
      </c>
      <c r="E458" s="1" t="s">
        <v>119</v>
      </c>
      <c r="F458" s="1" t="s">
        <v>119</v>
      </c>
      <c r="G458" s="1" t="s">
        <v>26</v>
      </c>
      <c r="H458" s="2">
        <v>1901</v>
      </c>
      <c r="I458" s="19">
        <v>1374</v>
      </c>
    </row>
    <row r="459" spans="1:9" x14ac:dyDescent="0.25">
      <c r="A459" s="18" t="s">
        <v>957</v>
      </c>
      <c r="B459" s="11">
        <v>43705</v>
      </c>
      <c r="C459" s="3" t="s">
        <v>958</v>
      </c>
      <c r="D459" s="3" t="s">
        <v>91</v>
      </c>
      <c r="E459" s="3" t="s">
        <v>101</v>
      </c>
      <c r="F459" s="3" t="s">
        <v>102</v>
      </c>
      <c r="G459" s="3" t="s">
        <v>26</v>
      </c>
      <c r="H459" s="4">
        <v>2653</v>
      </c>
      <c r="I459" s="20">
        <v>1794</v>
      </c>
    </row>
    <row r="460" spans="1:9" x14ac:dyDescent="0.25">
      <c r="A460" s="17" t="s">
        <v>959</v>
      </c>
      <c r="B460" s="10">
        <v>43371</v>
      </c>
      <c r="C460" s="1" t="s">
        <v>960</v>
      </c>
      <c r="D460" s="1" t="s">
        <v>11</v>
      </c>
      <c r="E460" s="1" t="s">
        <v>12</v>
      </c>
      <c r="F460" s="1" t="s">
        <v>12</v>
      </c>
      <c r="G460" s="1" t="s">
        <v>14</v>
      </c>
      <c r="H460" s="2">
        <v>3567</v>
      </c>
      <c r="I460" s="19">
        <v>2256</v>
      </c>
    </row>
    <row r="461" spans="1:9" x14ac:dyDescent="0.25">
      <c r="A461" s="18" t="s">
        <v>961</v>
      </c>
      <c r="B461" s="11">
        <v>43736</v>
      </c>
      <c r="C461" s="3" t="s">
        <v>962</v>
      </c>
      <c r="D461" s="3" t="s">
        <v>29</v>
      </c>
      <c r="E461" s="3" t="s">
        <v>30</v>
      </c>
      <c r="F461" s="3" t="s">
        <v>30</v>
      </c>
      <c r="G461" s="3" t="s">
        <v>26</v>
      </c>
      <c r="H461" s="4">
        <v>3851</v>
      </c>
      <c r="I461" s="20">
        <v>1821</v>
      </c>
    </row>
    <row r="462" spans="1:9" x14ac:dyDescent="0.25">
      <c r="A462" s="17" t="s">
        <v>963</v>
      </c>
      <c r="B462" s="10">
        <v>43736</v>
      </c>
      <c r="C462" s="1" t="s">
        <v>964</v>
      </c>
      <c r="D462" s="1" t="s">
        <v>38</v>
      </c>
      <c r="E462" s="1" t="s">
        <v>39</v>
      </c>
      <c r="F462" s="1" t="s">
        <v>132</v>
      </c>
      <c r="G462" s="1" t="s">
        <v>14</v>
      </c>
      <c r="H462" s="2">
        <v>1799</v>
      </c>
      <c r="I462" s="19">
        <v>1216</v>
      </c>
    </row>
    <row r="463" spans="1:9" x14ac:dyDescent="0.25">
      <c r="A463" s="18" t="s">
        <v>965</v>
      </c>
      <c r="B463" s="11">
        <v>43766</v>
      </c>
      <c r="C463" s="3" t="s">
        <v>966</v>
      </c>
      <c r="D463" s="3" t="s">
        <v>38</v>
      </c>
      <c r="E463" s="3" t="s">
        <v>39</v>
      </c>
      <c r="F463" s="3" t="s">
        <v>132</v>
      </c>
      <c r="G463" s="3" t="s">
        <v>14</v>
      </c>
      <c r="H463" s="4">
        <v>5641</v>
      </c>
      <c r="I463" s="20">
        <v>3563</v>
      </c>
    </row>
    <row r="464" spans="1:9" x14ac:dyDescent="0.25">
      <c r="A464" s="17" t="s">
        <v>967</v>
      </c>
      <c r="B464" s="10">
        <v>43797</v>
      </c>
      <c r="C464" s="1" t="s">
        <v>968</v>
      </c>
      <c r="D464" s="1" t="s">
        <v>23</v>
      </c>
      <c r="E464" s="1" t="s">
        <v>24</v>
      </c>
      <c r="F464" s="1" t="s">
        <v>25</v>
      </c>
      <c r="G464" s="1" t="s">
        <v>26</v>
      </c>
      <c r="H464" s="2">
        <v>1526</v>
      </c>
      <c r="I464" s="19">
        <v>1123</v>
      </c>
    </row>
    <row r="465" spans="1:9" x14ac:dyDescent="0.25">
      <c r="A465" s="18" t="s">
        <v>969</v>
      </c>
      <c r="B465" s="11">
        <v>43129</v>
      </c>
      <c r="C465" s="3" t="s">
        <v>970</v>
      </c>
      <c r="D465" s="3" t="s">
        <v>29</v>
      </c>
      <c r="E465" s="3" t="s">
        <v>30</v>
      </c>
      <c r="F465" s="3" t="s">
        <v>30</v>
      </c>
      <c r="G465" s="3" t="s">
        <v>26</v>
      </c>
      <c r="H465" s="4">
        <v>5650</v>
      </c>
      <c r="I465" s="20">
        <v>3028</v>
      </c>
    </row>
    <row r="466" spans="1:9" x14ac:dyDescent="0.25">
      <c r="A466" s="17" t="s">
        <v>971</v>
      </c>
      <c r="B466" s="10">
        <v>43553</v>
      </c>
      <c r="C466" s="1" t="s">
        <v>972</v>
      </c>
      <c r="D466" s="1" t="s">
        <v>23</v>
      </c>
      <c r="E466" s="1" t="s">
        <v>119</v>
      </c>
      <c r="F466" s="1" t="s">
        <v>119</v>
      </c>
      <c r="G466" s="1" t="s">
        <v>26</v>
      </c>
      <c r="H466" s="2">
        <v>4325</v>
      </c>
      <c r="I466" s="19">
        <v>3240</v>
      </c>
    </row>
    <row r="467" spans="1:9" x14ac:dyDescent="0.25">
      <c r="A467" s="18" t="s">
        <v>973</v>
      </c>
      <c r="B467" s="11">
        <v>43249</v>
      </c>
      <c r="C467" s="3" t="s">
        <v>974</v>
      </c>
      <c r="D467" s="3" t="s">
        <v>23</v>
      </c>
      <c r="E467" s="3" t="s">
        <v>24</v>
      </c>
      <c r="F467" s="3" t="s">
        <v>25</v>
      </c>
      <c r="G467" s="3" t="s">
        <v>26</v>
      </c>
      <c r="H467" s="4">
        <v>3972</v>
      </c>
      <c r="I467" s="20">
        <v>2171</v>
      </c>
    </row>
    <row r="468" spans="1:9" x14ac:dyDescent="0.25">
      <c r="A468" s="17" t="s">
        <v>975</v>
      </c>
      <c r="B468" s="10">
        <v>43614</v>
      </c>
      <c r="C468" s="1" t="s">
        <v>976</v>
      </c>
      <c r="D468" s="1" t="s">
        <v>29</v>
      </c>
      <c r="E468" s="1" t="s">
        <v>30</v>
      </c>
      <c r="F468" s="1" t="s">
        <v>30</v>
      </c>
      <c r="G468" s="1" t="s">
        <v>26</v>
      </c>
      <c r="H468" s="2">
        <v>4434</v>
      </c>
      <c r="I468" s="19">
        <v>3046</v>
      </c>
    </row>
    <row r="469" spans="1:9" x14ac:dyDescent="0.25">
      <c r="A469" s="18" t="s">
        <v>977</v>
      </c>
      <c r="B469" s="11">
        <v>44011</v>
      </c>
      <c r="C469" s="3" t="s">
        <v>688</v>
      </c>
      <c r="D469" s="3" t="s">
        <v>91</v>
      </c>
      <c r="E469" s="3" t="s">
        <v>115</v>
      </c>
      <c r="F469" s="3" t="s">
        <v>233</v>
      </c>
      <c r="G469" s="3" t="s">
        <v>26</v>
      </c>
      <c r="H469" s="4">
        <v>5960</v>
      </c>
      <c r="I469" s="20">
        <v>4294</v>
      </c>
    </row>
    <row r="470" spans="1:9" x14ac:dyDescent="0.25">
      <c r="A470" s="17" t="s">
        <v>978</v>
      </c>
      <c r="B470" s="10">
        <v>43310</v>
      </c>
      <c r="C470" s="1" t="s">
        <v>979</v>
      </c>
      <c r="D470" s="1" t="s">
        <v>48</v>
      </c>
      <c r="E470" s="1" t="s">
        <v>348</v>
      </c>
      <c r="F470" s="1" t="s">
        <v>349</v>
      </c>
      <c r="G470" s="1" t="s">
        <v>26</v>
      </c>
      <c r="H470" s="2">
        <v>4635</v>
      </c>
      <c r="I470" s="19">
        <v>3161</v>
      </c>
    </row>
    <row r="471" spans="1:9" x14ac:dyDescent="0.25">
      <c r="A471" s="18" t="s">
        <v>980</v>
      </c>
      <c r="B471" s="11">
        <v>44041</v>
      </c>
      <c r="C471" s="3" t="s">
        <v>981</v>
      </c>
      <c r="D471" s="3" t="s">
        <v>17</v>
      </c>
      <c r="E471" s="3" t="s">
        <v>145</v>
      </c>
      <c r="F471" s="3" t="s">
        <v>203</v>
      </c>
      <c r="G471" s="3" t="s">
        <v>20</v>
      </c>
      <c r="H471" s="4">
        <v>1759</v>
      </c>
      <c r="I471" s="20">
        <v>840</v>
      </c>
    </row>
    <row r="472" spans="1:9" x14ac:dyDescent="0.25">
      <c r="A472" s="17" t="s">
        <v>982</v>
      </c>
      <c r="B472" s="10">
        <v>44072</v>
      </c>
      <c r="C472" s="1" t="s">
        <v>457</v>
      </c>
      <c r="D472" s="1" t="s">
        <v>48</v>
      </c>
      <c r="E472" s="1" t="s">
        <v>348</v>
      </c>
      <c r="F472" s="1" t="s">
        <v>349</v>
      </c>
      <c r="G472" s="1" t="s">
        <v>26</v>
      </c>
      <c r="H472" s="2">
        <v>3618</v>
      </c>
      <c r="I472" s="19">
        <v>2441</v>
      </c>
    </row>
    <row r="473" spans="1:9" x14ac:dyDescent="0.25">
      <c r="A473" s="18" t="s">
        <v>983</v>
      </c>
      <c r="B473" s="11">
        <v>43737</v>
      </c>
      <c r="C473" s="3" t="s">
        <v>984</v>
      </c>
      <c r="D473" s="3" t="s">
        <v>38</v>
      </c>
      <c r="E473" s="3" t="s">
        <v>39</v>
      </c>
      <c r="F473" s="3" t="s">
        <v>40</v>
      </c>
      <c r="G473" s="3" t="s">
        <v>14</v>
      </c>
      <c r="H473" s="4">
        <v>3340</v>
      </c>
      <c r="I473" s="20">
        <v>2497</v>
      </c>
    </row>
    <row r="474" spans="1:9" x14ac:dyDescent="0.25">
      <c r="A474" s="17" t="s">
        <v>985</v>
      </c>
      <c r="B474" s="10">
        <v>43737</v>
      </c>
      <c r="C474" s="1" t="s">
        <v>779</v>
      </c>
      <c r="D474" s="1" t="s">
        <v>72</v>
      </c>
      <c r="E474" s="1" t="s">
        <v>87</v>
      </c>
      <c r="F474" s="1" t="s">
        <v>88</v>
      </c>
      <c r="G474" s="1" t="s">
        <v>20</v>
      </c>
      <c r="H474" s="2">
        <v>3295</v>
      </c>
      <c r="I474" s="19">
        <v>2429</v>
      </c>
    </row>
    <row r="475" spans="1:9" x14ac:dyDescent="0.25">
      <c r="A475" s="18" t="s">
        <v>986</v>
      </c>
      <c r="B475" s="11">
        <v>44103</v>
      </c>
      <c r="C475" s="3" t="s">
        <v>987</v>
      </c>
      <c r="D475" s="3" t="s">
        <v>72</v>
      </c>
      <c r="E475" s="3" t="s">
        <v>79</v>
      </c>
      <c r="F475" s="3" t="s">
        <v>80</v>
      </c>
      <c r="G475" s="3" t="s">
        <v>20</v>
      </c>
      <c r="H475" s="4">
        <v>4535</v>
      </c>
      <c r="I475" s="20">
        <v>2336</v>
      </c>
    </row>
    <row r="476" spans="1:9" x14ac:dyDescent="0.25">
      <c r="A476" s="17" t="s">
        <v>988</v>
      </c>
      <c r="B476" s="10">
        <v>43828</v>
      </c>
      <c r="C476" s="1" t="s">
        <v>989</v>
      </c>
      <c r="D476" s="1" t="s">
        <v>72</v>
      </c>
      <c r="E476" s="1" t="s">
        <v>79</v>
      </c>
      <c r="F476" s="1" t="s">
        <v>80</v>
      </c>
      <c r="G476" s="1" t="s">
        <v>20</v>
      </c>
      <c r="H476" s="2">
        <v>2901</v>
      </c>
      <c r="I476" s="19">
        <v>1770</v>
      </c>
    </row>
    <row r="477" spans="1:9" x14ac:dyDescent="0.25">
      <c r="A477" s="18" t="s">
        <v>990</v>
      </c>
      <c r="B477" s="11">
        <v>43828</v>
      </c>
      <c r="C477" s="3" t="s">
        <v>991</v>
      </c>
      <c r="D477" s="3" t="s">
        <v>11</v>
      </c>
      <c r="E477" s="3" t="s">
        <v>12</v>
      </c>
      <c r="F477" s="3" t="s">
        <v>13</v>
      </c>
      <c r="G477" s="3" t="s">
        <v>14</v>
      </c>
      <c r="H477" s="4">
        <v>4216</v>
      </c>
      <c r="I477" s="20">
        <v>3118</v>
      </c>
    </row>
    <row r="478" spans="1:9" x14ac:dyDescent="0.25">
      <c r="A478" s="17" t="s">
        <v>992</v>
      </c>
      <c r="B478" s="10">
        <v>44194</v>
      </c>
      <c r="C478" s="1" t="s">
        <v>993</v>
      </c>
      <c r="D478" s="1" t="s">
        <v>48</v>
      </c>
      <c r="E478" s="1" t="s">
        <v>49</v>
      </c>
      <c r="F478" s="1" t="s">
        <v>105</v>
      </c>
      <c r="G478" s="1" t="s">
        <v>26</v>
      </c>
      <c r="H478" s="2">
        <v>5850</v>
      </c>
      <c r="I478" s="19">
        <v>2966</v>
      </c>
    </row>
    <row r="479" spans="1:9" x14ac:dyDescent="0.25">
      <c r="A479" s="18" t="s">
        <v>994</v>
      </c>
      <c r="B479" s="11">
        <v>43495</v>
      </c>
      <c r="C479" s="3" t="s">
        <v>995</v>
      </c>
      <c r="D479" s="3" t="s">
        <v>38</v>
      </c>
      <c r="E479" s="3" t="s">
        <v>179</v>
      </c>
      <c r="F479" s="3" t="s">
        <v>228</v>
      </c>
      <c r="G479" s="3" t="s">
        <v>14</v>
      </c>
      <c r="H479" s="4">
        <v>3272</v>
      </c>
      <c r="I479" s="20">
        <v>2197</v>
      </c>
    </row>
    <row r="480" spans="1:9" x14ac:dyDescent="0.25">
      <c r="A480" s="17" t="s">
        <v>996</v>
      </c>
      <c r="B480" s="10">
        <v>43495</v>
      </c>
      <c r="C480" s="1" t="s">
        <v>997</v>
      </c>
      <c r="D480" s="1" t="s">
        <v>43</v>
      </c>
      <c r="E480" s="1" t="s">
        <v>44</v>
      </c>
      <c r="F480" s="1" t="s">
        <v>45</v>
      </c>
      <c r="G480" s="1" t="s">
        <v>14</v>
      </c>
      <c r="H480" s="2">
        <v>3025</v>
      </c>
      <c r="I480" s="19">
        <v>1374</v>
      </c>
    </row>
    <row r="481" spans="1:9" x14ac:dyDescent="0.25">
      <c r="A481" s="18" t="s">
        <v>998</v>
      </c>
      <c r="B481" s="11">
        <v>43860</v>
      </c>
      <c r="C481" s="3" t="s">
        <v>999</v>
      </c>
      <c r="D481" s="3" t="s">
        <v>38</v>
      </c>
      <c r="E481" s="3" t="s">
        <v>39</v>
      </c>
      <c r="F481" s="3" t="s">
        <v>40</v>
      </c>
      <c r="G481" s="3" t="s">
        <v>14</v>
      </c>
      <c r="H481" s="4">
        <v>4898</v>
      </c>
      <c r="I481" s="20">
        <v>3166</v>
      </c>
    </row>
    <row r="482" spans="1:9" x14ac:dyDescent="0.25">
      <c r="A482" s="17" t="s">
        <v>1000</v>
      </c>
      <c r="B482" s="10">
        <v>43860</v>
      </c>
      <c r="C482" s="1" t="s">
        <v>1001</v>
      </c>
      <c r="D482" s="1" t="s">
        <v>43</v>
      </c>
      <c r="E482" s="1" t="s">
        <v>44</v>
      </c>
      <c r="F482" s="1" t="s">
        <v>60</v>
      </c>
      <c r="G482" s="1" t="s">
        <v>14</v>
      </c>
      <c r="H482" s="2">
        <v>3656</v>
      </c>
      <c r="I482" s="19">
        <v>2127</v>
      </c>
    </row>
    <row r="483" spans="1:9" x14ac:dyDescent="0.25">
      <c r="A483" s="18" t="s">
        <v>1002</v>
      </c>
      <c r="B483" s="11">
        <v>43189</v>
      </c>
      <c r="C483" s="3" t="s">
        <v>1003</v>
      </c>
      <c r="D483" s="3" t="s">
        <v>38</v>
      </c>
      <c r="E483" s="3" t="s">
        <v>179</v>
      </c>
      <c r="F483" s="3" t="s">
        <v>180</v>
      </c>
      <c r="G483" s="3" t="s">
        <v>14</v>
      </c>
      <c r="H483" s="4">
        <v>2145</v>
      </c>
      <c r="I483" s="20">
        <v>1320</v>
      </c>
    </row>
    <row r="484" spans="1:9" x14ac:dyDescent="0.25">
      <c r="A484" s="17" t="s">
        <v>1004</v>
      </c>
      <c r="B484" s="10">
        <v>43220</v>
      </c>
      <c r="C484" s="1" t="s">
        <v>1005</v>
      </c>
      <c r="D484" s="1" t="s">
        <v>29</v>
      </c>
      <c r="E484" s="1" t="s">
        <v>30</v>
      </c>
      <c r="F484" s="1" t="s">
        <v>30</v>
      </c>
      <c r="G484" s="1" t="s">
        <v>26</v>
      </c>
      <c r="H484" s="2">
        <v>1910</v>
      </c>
      <c r="I484" s="19">
        <v>1194</v>
      </c>
    </row>
    <row r="485" spans="1:9" x14ac:dyDescent="0.25">
      <c r="A485" s="18" t="s">
        <v>1006</v>
      </c>
      <c r="B485" s="11">
        <v>43951</v>
      </c>
      <c r="C485" s="3" t="s">
        <v>1007</v>
      </c>
      <c r="D485" s="3" t="s">
        <v>17</v>
      </c>
      <c r="E485" s="3" t="s">
        <v>145</v>
      </c>
      <c r="F485" s="3" t="s">
        <v>203</v>
      </c>
      <c r="G485" s="3" t="s">
        <v>20</v>
      </c>
      <c r="H485" s="4">
        <v>4642</v>
      </c>
      <c r="I485" s="20">
        <v>2354</v>
      </c>
    </row>
    <row r="486" spans="1:9" x14ac:dyDescent="0.25">
      <c r="A486" s="17" t="s">
        <v>1008</v>
      </c>
      <c r="B486" s="10">
        <v>43311</v>
      </c>
      <c r="C486" s="1" t="s">
        <v>1009</v>
      </c>
      <c r="D486" s="1" t="s">
        <v>11</v>
      </c>
      <c r="E486" s="1" t="s">
        <v>128</v>
      </c>
      <c r="F486" s="1" t="s">
        <v>129</v>
      </c>
      <c r="G486" s="1" t="s">
        <v>14</v>
      </c>
      <c r="H486" s="2">
        <v>2034</v>
      </c>
      <c r="I486" s="19">
        <v>1418</v>
      </c>
    </row>
    <row r="487" spans="1:9" x14ac:dyDescent="0.25">
      <c r="A487" s="18" t="s">
        <v>1010</v>
      </c>
      <c r="B487" s="11">
        <v>44042</v>
      </c>
      <c r="C487" s="3" t="s">
        <v>1011</v>
      </c>
      <c r="D487" s="3" t="s">
        <v>11</v>
      </c>
      <c r="E487" s="3" t="s">
        <v>128</v>
      </c>
      <c r="F487" s="3" t="s">
        <v>187</v>
      </c>
      <c r="G487" s="3" t="s">
        <v>14</v>
      </c>
      <c r="H487" s="4">
        <v>4921</v>
      </c>
      <c r="I487" s="20">
        <v>2641</v>
      </c>
    </row>
    <row r="488" spans="1:9" x14ac:dyDescent="0.25">
      <c r="A488" s="17" t="s">
        <v>1012</v>
      </c>
      <c r="B488" s="10">
        <v>43342</v>
      </c>
      <c r="C488" s="1" t="s">
        <v>1013</v>
      </c>
      <c r="D488" s="1" t="s">
        <v>33</v>
      </c>
      <c r="E488" s="1" t="s">
        <v>149</v>
      </c>
      <c r="F488" s="1" t="s">
        <v>150</v>
      </c>
      <c r="G488" s="1" t="s">
        <v>26</v>
      </c>
      <c r="H488" s="2">
        <v>5523</v>
      </c>
      <c r="I488" s="19">
        <v>2817</v>
      </c>
    </row>
    <row r="489" spans="1:9" x14ac:dyDescent="0.25">
      <c r="A489" s="18" t="s">
        <v>1014</v>
      </c>
      <c r="B489" s="11">
        <v>43342</v>
      </c>
      <c r="C489" s="3" t="s">
        <v>520</v>
      </c>
      <c r="D489" s="3" t="s">
        <v>91</v>
      </c>
      <c r="E489" s="3" t="s">
        <v>101</v>
      </c>
      <c r="F489" s="3" t="s">
        <v>102</v>
      </c>
      <c r="G489" s="3" t="s">
        <v>26</v>
      </c>
      <c r="H489" s="4">
        <v>3136</v>
      </c>
      <c r="I489" s="20">
        <v>2143</v>
      </c>
    </row>
    <row r="490" spans="1:9" x14ac:dyDescent="0.25">
      <c r="A490" s="17" t="s">
        <v>1015</v>
      </c>
      <c r="B490" s="10">
        <v>43373</v>
      </c>
      <c r="C490" s="1" t="s">
        <v>1016</v>
      </c>
      <c r="D490" s="1" t="s">
        <v>43</v>
      </c>
      <c r="E490" s="1" t="s">
        <v>83</v>
      </c>
      <c r="F490" s="1" t="s">
        <v>84</v>
      </c>
      <c r="G490" s="1" t="s">
        <v>14</v>
      </c>
      <c r="H490" s="2">
        <v>2844</v>
      </c>
      <c r="I490" s="19">
        <v>1655</v>
      </c>
    </row>
    <row r="491" spans="1:9" x14ac:dyDescent="0.25">
      <c r="A491" s="18" t="s">
        <v>1017</v>
      </c>
      <c r="B491" s="11">
        <v>44104</v>
      </c>
      <c r="C491" s="3" t="s">
        <v>1018</v>
      </c>
      <c r="D491" s="3" t="s">
        <v>43</v>
      </c>
      <c r="E491" s="3" t="s">
        <v>44</v>
      </c>
      <c r="F491" s="3" t="s">
        <v>60</v>
      </c>
      <c r="G491" s="3" t="s">
        <v>14</v>
      </c>
      <c r="H491" s="4">
        <v>3371</v>
      </c>
      <c r="I491" s="20">
        <v>1743</v>
      </c>
    </row>
    <row r="492" spans="1:9" x14ac:dyDescent="0.25">
      <c r="A492" s="17" t="s">
        <v>1019</v>
      </c>
      <c r="B492" s="10">
        <v>44134</v>
      </c>
      <c r="C492" s="1" t="s">
        <v>1020</v>
      </c>
      <c r="D492" s="1" t="s">
        <v>33</v>
      </c>
      <c r="E492" s="1" t="s">
        <v>149</v>
      </c>
      <c r="F492" s="1" t="s">
        <v>150</v>
      </c>
      <c r="G492" s="1" t="s">
        <v>26</v>
      </c>
      <c r="H492" s="2">
        <v>5186</v>
      </c>
      <c r="I492" s="19">
        <v>2736</v>
      </c>
    </row>
    <row r="493" spans="1:9" x14ac:dyDescent="0.25">
      <c r="A493" s="18" t="s">
        <v>1021</v>
      </c>
      <c r="B493" s="11">
        <v>44165</v>
      </c>
      <c r="C493" s="3" t="s">
        <v>1022</v>
      </c>
      <c r="D493" s="3" t="s">
        <v>48</v>
      </c>
      <c r="E493" s="3" t="s">
        <v>348</v>
      </c>
      <c r="F493" s="3" t="s">
        <v>349</v>
      </c>
      <c r="G493" s="3" t="s">
        <v>26</v>
      </c>
      <c r="H493" s="4">
        <v>2282</v>
      </c>
      <c r="I493" s="20">
        <v>1372</v>
      </c>
    </row>
    <row r="494" spans="1:9" x14ac:dyDescent="0.25">
      <c r="A494" s="17" t="s">
        <v>1023</v>
      </c>
      <c r="B494" s="10">
        <v>44195</v>
      </c>
      <c r="C494" s="1" t="s">
        <v>1024</v>
      </c>
      <c r="D494" s="1" t="s">
        <v>23</v>
      </c>
      <c r="E494" s="1" t="s">
        <v>24</v>
      </c>
      <c r="F494" s="1" t="s">
        <v>25</v>
      </c>
      <c r="G494" s="1" t="s">
        <v>26</v>
      </c>
      <c r="H494" s="2">
        <v>3699</v>
      </c>
      <c r="I494" s="19">
        <v>2022</v>
      </c>
    </row>
    <row r="495" spans="1:9" x14ac:dyDescent="0.25">
      <c r="A495" s="18" t="s">
        <v>1025</v>
      </c>
      <c r="B495" s="11">
        <v>43131</v>
      </c>
      <c r="C495" s="3" t="s">
        <v>530</v>
      </c>
      <c r="D495" s="3" t="s">
        <v>43</v>
      </c>
      <c r="E495" s="3" t="s">
        <v>44</v>
      </c>
      <c r="F495" s="3" t="s">
        <v>45</v>
      </c>
      <c r="G495" s="3" t="s">
        <v>14</v>
      </c>
      <c r="H495" s="4">
        <v>5443</v>
      </c>
      <c r="I495" s="20">
        <v>2798</v>
      </c>
    </row>
    <row r="496" spans="1:9" x14ac:dyDescent="0.25">
      <c r="A496" s="17" t="s">
        <v>1026</v>
      </c>
      <c r="B496" s="10">
        <v>43555</v>
      </c>
      <c r="C496" s="1" t="s">
        <v>1027</v>
      </c>
      <c r="D496" s="1" t="s">
        <v>29</v>
      </c>
      <c r="E496" s="1" t="s">
        <v>30</v>
      </c>
      <c r="F496" s="1" t="s">
        <v>30</v>
      </c>
      <c r="G496" s="1" t="s">
        <v>26</v>
      </c>
      <c r="H496" s="2">
        <v>4747</v>
      </c>
      <c r="I496" s="19">
        <v>2851</v>
      </c>
    </row>
    <row r="497" spans="1:9" x14ac:dyDescent="0.25">
      <c r="A497" s="18" t="s">
        <v>1028</v>
      </c>
      <c r="B497" s="11">
        <v>43921</v>
      </c>
      <c r="C497" s="3" t="s">
        <v>1029</v>
      </c>
      <c r="D497" s="3" t="s">
        <v>11</v>
      </c>
      <c r="E497" s="3" t="s">
        <v>12</v>
      </c>
      <c r="F497" s="3" t="s">
        <v>12</v>
      </c>
      <c r="G497" s="3" t="s">
        <v>14</v>
      </c>
      <c r="H497" s="4">
        <v>2722</v>
      </c>
      <c r="I497" s="20">
        <v>1887</v>
      </c>
    </row>
    <row r="498" spans="1:9" x14ac:dyDescent="0.25">
      <c r="A498" s="17" t="s">
        <v>1030</v>
      </c>
      <c r="B498" s="10">
        <v>43921</v>
      </c>
      <c r="C498" s="1" t="s">
        <v>1031</v>
      </c>
      <c r="D498" s="1" t="s">
        <v>91</v>
      </c>
      <c r="E498" s="1" t="s">
        <v>115</v>
      </c>
      <c r="F498" s="1" t="s">
        <v>408</v>
      </c>
      <c r="G498" s="1" t="s">
        <v>26</v>
      </c>
      <c r="H498" s="2">
        <v>3620</v>
      </c>
      <c r="I498" s="19">
        <v>2625</v>
      </c>
    </row>
    <row r="499" spans="1:9" x14ac:dyDescent="0.25">
      <c r="A499" s="18" t="s">
        <v>1032</v>
      </c>
      <c r="B499" s="11">
        <v>43982</v>
      </c>
      <c r="C499" s="3" t="s">
        <v>1033</v>
      </c>
      <c r="D499" s="3" t="s">
        <v>91</v>
      </c>
      <c r="E499" s="3" t="s">
        <v>115</v>
      </c>
      <c r="F499" s="3" t="s">
        <v>116</v>
      </c>
      <c r="G499" s="3" t="s">
        <v>26</v>
      </c>
      <c r="H499" s="4">
        <v>3474</v>
      </c>
      <c r="I499" s="20">
        <v>1763</v>
      </c>
    </row>
    <row r="500" spans="1:9" x14ac:dyDescent="0.25">
      <c r="A500" s="17" t="s">
        <v>1034</v>
      </c>
      <c r="B500" s="10">
        <v>43982</v>
      </c>
      <c r="C500" s="1" t="s">
        <v>1035</v>
      </c>
      <c r="D500" s="1" t="s">
        <v>91</v>
      </c>
      <c r="E500" s="1" t="s">
        <v>101</v>
      </c>
      <c r="F500" s="1" t="s">
        <v>102</v>
      </c>
      <c r="G500" s="1" t="s">
        <v>26</v>
      </c>
      <c r="H500" s="2">
        <v>5683</v>
      </c>
      <c r="I500" s="19">
        <v>3830</v>
      </c>
    </row>
    <row r="501" spans="1:9" x14ac:dyDescent="0.25">
      <c r="A501" s="25" t="s">
        <v>1036</v>
      </c>
      <c r="B501" s="26">
        <v>44074</v>
      </c>
      <c r="C501" s="27" t="s">
        <v>577</v>
      </c>
      <c r="D501" s="27" t="s">
        <v>91</v>
      </c>
      <c r="E501" s="27" t="s">
        <v>115</v>
      </c>
      <c r="F501" s="27" t="s">
        <v>233</v>
      </c>
      <c r="G501" s="27" t="s">
        <v>26</v>
      </c>
      <c r="H501" s="28">
        <v>5948</v>
      </c>
      <c r="I501" s="29">
        <v>3682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018C-8392-4607-B8DD-F34DA5DE7166}">
  <dimension ref="A3:C17"/>
  <sheetViews>
    <sheetView workbookViewId="0">
      <selection activeCell="D28" sqref="D28"/>
    </sheetView>
  </sheetViews>
  <sheetFormatPr defaultRowHeight="15" x14ac:dyDescent="0.25"/>
  <cols>
    <col min="1" max="1" width="15.85546875" bestFit="1" customWidth="1"/>
    <col min="2" max="2" width="12.140625" bestFit="1" customWidth="1"/>
    <col min="3" max="3" width="12.5703125" bestFit="1" customWidth="1"/>
  </cols>
  <sheetData>
    <row r="3" spans="1:3" x14ac:dyDescent="0.25">
      <c r="A3" s="5" t="s">
        <v>1037</v>
      </c>
      <c r="B3" t="s">
        <v>1039</v>
      </c>
      <c r="C3" t="s">
        <v>1040</v>
      </c>
    </row>
    <row r="4" spans="1:3" x14ac:dyDescent="0.25">
      <c r="A4" s="6" t="s">
        <v>1054</v>
      </c>
      <c r="B4" s="7">
        <v>202858</v>
      </c>
      <c r="C4" s="7">
        <v>120774</v>
      </c>
    </row>
    <row r="5" spans="1:3" x14ac:dyDescent="0.25">
      <c r="A5" s="13" t="s">
        <v>29</v>
      </c>
      <c r="B5" s="7">
        <v>43644</v>
      </c>
      <c r="C5" s="7">
        <v>25155</v>
      </c>
    </row>
    <row r="6" spans="1:3" x14ac:dyDescent="0.25">
      <c r="A6" s="13" t="s">
        <v>23</v>
      </c>
      <c r="B6" s="7">
        <v>61054</v>
      </c>
      <c r="C6" s="7">
        <v>36344</v>
      </c>
    </row>
    <row r="7" spans="1:3" x14ac:dyDescent="0.25">
      <c r="A7" s="13" t="s">
        <v>43</v>
      </c>
      <c r="B7" s="7">
        <v>47763</v>
      </c>
      <c r="C7" s="7">
        <v>27948</v>
      </c>
    </row>
    <row r="8" spans="1:3" x14ac:dyDescent="0.25">
      <c r="A8" s="13" t="s">
        <v>48</v>
      </c>
      <c r="B8" s="7">
        <v>50397</v>
      </c>
      <c r="C8" s="7">
        <v>31327</v>
      </c>
    </row>
    <row r="9" spans="1:3" x14ac:dyDescent="0.25">
      <c r="A9" s="6" t="s">
        <v>1055</v>
      </c>
      <c r="B9" s="7">
        <v>185683</v>
      </c>
      <c r="C9" s="7">
        <v>111376</v>
      </c>
    </row>
    <row r="10" spans="1:3" x14ac:dyDescent="0.25">
      <c r="A10" s="13" t="s">
        <v>91</v>
      </c>
      <c r="B10" s="7">
        <v>47869</v>
      </c>
      <c r="C10" s="7">
        <v>30278</v>
      </c>
    </row>
    <row r="11" spans="1:3" x14ac:dyDescent="0.25">
      <c r="A11" s="13" t="s">
        <v>72</v>
      </c>
      <c r="B11" s="7">
        <v>76338</v>
      </c>
      <c r="C11" s="7">
        <v>46848</v>
      </c>
    </row>
    <row r="12" spans="1:3" x14ac:dyDescent="0.25">
      <c r="A12" s="13" t="s">
        <v>33</v>
      </c>
      <c r="B12" s="7">
        <v>61476</v>
      </c>
      <c r="C12" s="7">
        <v>34250</v>
      </c>
    </row>
    <row r="13" spans="1:3" x14ac:dyDescent="0.25">
      <c r="A13" s="6" t="s">
        <v>1056</v>
      </c>
      <c r="B13" s="7">
        <v>164162</v>
      </c>
      <c r="C13" s="7">
        <v>97101</v>
      </c>
    </row>
    <row r="14" spans="1:3" x14ac:dyDescent="0.25">
      <c r="A14" s="13" t="s">
        <v>38</v>
      </c>
      <c r="B14" s="7">
        <v>51161</v>
      </c>
      <c r="C14" s="7">
        <v>29631</v>
      </c>
    </row>
    <row r="15" spans="1:3" x14ac:dyDescent="0.25">
      <c r="A15" s="13" t="s">
        <v>17</v>
      </c>
      <c r="B15" s="7">
        <v>77566</v>
      </c>
      <c r="C15" s="7">
        <v>46506</v>
      </c>
    </row>
    <row r="16" spans="1:3" x14ac:dyDescent="0.25">
      <c r="A16" s="13" t="s">
        <v>11</v>
      </c>
      <c r="B16" s="7">
        <v>35435</v>
      </c>
      <c r="C16" s="7">
        <v>20964</v>
      </c>
    </row>
    <row r="17" spans="1:3" x14ac:dyDescent="0.25">
      <c r="A17" s="6" t="s">
        <v>1038</v>
      </c>
      <c r="B17" s="7">
        <v>552703</v>
      </c>
      <c r="C17" s="7">
        <v>329251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3346-6C14-4B20-B355-D25B3D16AD41}">
  <dimension ref="A3:B27"/>
  <sheetViews>
    <sheetView showGridLines="0" topLeftCell="A7" workbookViewId="0">
      <selection activeCell="M17" sqref="M17"/>
    </sheetView>
  </sheetViews>
  <sheetFormatPr defaultRowHeight="15" x14ac:dyDescent="0.25"/>
  <cols>
    <col min="1" max="1" width="12.140625" style="30" bestFit="1" customWidth="1"/>
    <col min="2" max="2" width="8" style="30" bestFit="1" customWidth="1"/>
    <col min="3" max="16384" width="9.140625" style="30"/>
  </cols>
  <sheetData>
    <row r="3" spans="1:2" x14ac:dyDescent="0.25">
      <c r="A3" s="30" t="s">
        <v>1039</v>
      </c>
    </row>
    <row r="4" spans="1:2" x14ac:dyDescent="0.25">
      <c r="A4" s="30" t="s">
        <v>6</v>
      </c>
      <c r="B4" s="30" t="s">
        <v>1041</v>
      </c>
    </row>
    <row r="5" spans="1:2" x14ac:dyDescent="0.25">
      <c r="A5" s="30" t="s">
        <v>20</v>
      </c>
      <c r="B5" s="31">
        <v>424800</v>
      </c>
    </row>
    <row r="6" spans="1:2" x14ac:dyDescent="0.25">
      <c r="A6" s="30" t="s">
        <v>14</v>
      </c>
      <c r="B6" s="31">
        <v>555198</v>
      </c>
    </row>
    <row r="7" spans="1:2" x14ac:dyDescent="0.25">
      <c r="A7" s="30" t="s">
        <v>26</v>
      </c>
      <c r="B7" s="31">
        <v>874922</v>
      </c>
    </row>
    <row r="8" spans="1:2" x14ac:dyDescent="0.25">
      <c r="A8" s="30" t="s">
        <v>1038</v>
      </c>
      <c r="B8" s="31">
        <v>1854920</v>
      </c>
    </row>
    <row r="18" spans="1:2" x14ac:dyDescent="0.25">
      <c r="A18" s="30" t="s">
        <v>6</v>
      </c>
      <c r="B18" s="30" t="s">
        <v>14</v>
      </c>
    </row>
    <row r="20" spans="1:2" x14ac:dyDescent="0.25">
      <c r="A20" s="30" t="s">
        <v>1037</v>
      </c>
      <c r="B20" s="30" t="s">
        <v>1039</v>
      </c>
    </row>
    <row r="21" spans="1:2" x14ac:dyDescent="0.25">
      <c r="A21" s="32" t="s">
        <v>83</v>
      </c>
      <c r="B21" s="31">
        <v>73653</v>
      </c>
    </row>
    <row r="22" spans="1:2" x14ac:dyDescent="0.25">
      <c r="A22" s="32" t="s">
        <v>39</v>
      </c>
      <c r="B22" s="31">
        <v>98603</v>
      </c>
    </row>
    <row r="23" spans="1:2" x14ac:dyDescent="0.25">
      <c r="A23" s="32" t="s">
        <v>179</v>
      </c>
      <c r="B23" s="31">
        <v>89588</v>
      </c>
    </row>
    <row r="24" spans="1:2" x14ac:dyDescent="0.25">
      <c r="A24" s="32" t="s">
        <v>128</v>
      </c>
      <c r="B24" s="31">
        <v>92073</v>
      </c>
    </row>
    <row r="25" spans="1:2" x14ac:dyDescent="0.25">
      <c r="A25" s="32" t="s">
        <v>44</v>
      </c>
      <c r="B25" s="31">
        <v>90929</v>
      </c>
    </row>
    <row r="26" spans="1:2" x14ac:dyDescent="0.25">
      <c r="A26" s="32" t="s">
        <v>12</v>
      </c>
      <c r="B26" s="31">
        <v>110352</v>
      </c>
    </row>
    <row r="27" spans="1:2" x14ac:dyDescent="0.25">
      <c r="A27" s="32" t="s">
        <v>1038</v>
      </c>
      <c r="B27" s="31">
        <v>555198</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29F7-D955-40E9-A865-000568671854}">
  <dimension ref="A3:E71"/>
  <sheetViews>
    <sheetView workbookViewId="0">
      <selection activeCell="N8" sqref="N8"/>
    </sheetView>
  </sheetViews>
  <sheetFormatPr defaultRowHeight="15" x14ac:dyDescent="0.25"/>
  <cols>
    <col min="1" max="1" width="17.42578125" style="6" bestFit="1" customWidth="1"/>
    <col min="2" max="2" width="12.140625" style="8" bestFit="1" customWidth="1"/>
    <col min="3" max="3" width="13.5703125" style="8" customWidth="1"/>
    <col min="4" max="4" width="14" style="8" customWidth="1"/>
    <col min="5" max="5" width="11.28515625" style="8" bestFit="1" customWidth="1"/>
    <col min="13" max="13" width="13.140625" bestFit="1" customWidth="1"/>
    <col min="14" max="14" width="12.140625" bestFit="1" customWidth="1"/>
    <col min="15" max="15" width="12.5703125" bestFit="1" customWidth="1"/>
    <col min="17" max="17" width="12.140625" bestFit="1" customWidth="1"/>
    <col min="18" max="19" width="12.5703125" bestFit="1" customWidth="1"/>
  </cols>
  <sheetData>
    <row r="3" spans="1:5" x14ac:dyDescent="0.25">
      <c r="A3" s="9" t="s">
        <v>1039</v>
      </c>
      <c r="B3" s="6"/>
      <c r="C3" s="14" t="s">
        <v>6</v>
      </c>
      <c r="D3" s="34"/>
      <c r="E3" s="34"/>
    </row>
    <row r="4" spans="1:5" x14ac:dyDescent="0.25">
      <c r="A4" s="14" t="s">
        <v>1069</v>
      </c>
      <c r="B4" s="9" t="s">
        <v>3</v>
      </c>
      <c r="C4" s="33" t="s">
        <v>26</v>
      </c>
      <c r="D4" s="33" t="s">
        <v>14</v>
      </c>
      <c r="E4" s="33" t="s">
        <v>20</v>
      </c>
    </row>
    <row r="5" spans="1:5" x14ac:dyDescent="0.25">
      <c r="A5" s="35" t="s">
        <v>1115</v>
      </c>
      <c r="B5" s="33" t="s">
        <v>29</v>
      </c>
      <c r="C5" s="7">
        <v>151240</v>
      </c>
      <c r="D5" s="7"/>
      <c r="E5" s="7"/>
    </row>
    <row r="6" spans="1:5" x14ac:dyDescent="0.25">
      <c r="A6" s="36"/>
      <c r="B6" s="33" t="s">
        <v>23</v>
      </c>
      <c r="C6" s="7">
        <v>208907</v>
      </c>
      <c r="D6" s="7"/>
      <c r="E6" s="7"/>
    </row>
    <row r="7" spans="1:5" x14ac:dyDescent="0.25">
      <c r="A7" s="36"/>
      <c r="B7" s="33" t="s">
        <v>43</v>
      </c>
      <c r="C7" s="7"/>
      <c r="D7" s="7">
        <v>164582</v>
      </c>
      <c r="E7" s="7"/>
    </row>
    <row r="8" spans="1:5" x14ac:dyDescent="0.25">
      <c r="A8" s="36"/>
      <c r="B8" s="33" t="s">
        <v>48</v>
      </c>
      <c r="C8" s="7">
        <v>152060</v>
      </c>
      <c r="D8" s="7"/>
      <c r="E8" s="7"/>
    </row>
    <row r="9" spans="1:5" x14ac:dyDescent="0.25">
      <c r="A9" s="35" t="s">
        <v>1116</v>
      </c>
      <c r="B9" s="36"/>
      <c r="C9" s="7">
        <v>512207</v>
      </c>
      <c r="D9" s="7">
        <v>164582</v>
      </c>
      <c r="E9" s="7"/>
    </row>
    <row r="10" spans="1:5" x14ac:dyDescent="0.25">
      <c r="A10" s="35" t="s">
        <v>1070</v>
      </c>
      <c r="B10" s="33" t="s">
        <v>91</v>
      </c>
      <c r="C10" s="7">
        <v>174656</v>
      </c>
      <c r="D10" s="7"/>
      <c r="E10" s="7"/>
    </row>
    <row r="11" spans="1:5" x14ac:dyDescent="0.25">
      <c r="A11" s="36"/>
      <c r="B11" s="33" t="s">
        <v>72</v>
      </c>
      <c r="C11" s="7"/>
      <c r="D11" s="7"/>
      <c r="E11" s="7">
        <v>240097</v>
      </c>
    </row>
    <row r="12" spans="1:5" x14ac:dyDescent="0.25">
      <c r="A12" s="36"/>
      <c r="B12" s="33" t="s">
        <v>33</v>
      </c>
      <c r="C12" s="7">
        <v>188059</v>
      </c>
      <c r="D12" s="7"/>
      <c r="E12" s="7"/>
    </row>
    <row r="13" spans="1:5" x14ac:dyDescent="0.25">
      <c r="A13" s="35" t="s">
        <v>1071</v>
      </c>
      <c r="B13" s="36"/>
      <c r="C13" s="7">
        <v>362715</v>
      </c>
      <c r="D13" s="7"/>
      <c r="E13" s="7">
        <v>240097</v>
      </c>
    </row>
    <row r="14" spans="1:5" x14ac:dyDescent="0.25">
      <c r="A14" s="35" t="s">
        <v>1117</v>
      </c>
      <c r="B14" s="33" t="s">
        <v>38</v>
      </c>
      <c r="C14" s="7"/>
      <c r="D14" s="7">
        <v>188191</v>
      </c>
      <c r="E14" s="7"/>
    </row>
    <row r="15" spans="1:5" x14ac:dyDescent="0.25">
      <c r="A15" s="36"/>
      <c r="B15" s="33" t="s">
        <v>17</v>
      </c>
      <c r="C15" s="7"/>
      <c r="D15" s="7"/>
      <c r="E15" s="7">
        <v>184703</v>
      </c>
    </row>
    <row r="16" spans="1:5" x14ac:dyDescent="0.25">
      <c r="A16" s="36"/>
      <c r="B16" s="33" t="s">
        <v>11</v>
      </c>
      <c r="C16" s="7"/>
      <c r="D16" s="7">
        <v>202425</v>
      </c>
      <c r="E16" s="7"/>
    </row>
    <row r="17" spans="1:5" x14ac:dyDescent="0.25">
      <c r="A17" s="35" t="s">
        <v>1118</v>
      </c>
      <c r="B17" s="36"/>
      <c r="C17" s="7"/>
      <c r="D17" s="7">
        <v>390616</v>
      </c>
      <c r="E17" s="7">
        <v>184703</v>
      </c>
    </row>
    <row r="18" spans="1:5" x14ac:dyDescent="0.25">
      <c r="A18"/>
      <c r="B18"/>
      <c r="C18"/>
      <c r="D18"/>
      <c r="E18"/>
    </row>
    <row r="19" spans="1:5" x14ac:dyDescent="0.25">
      <c r="A19"/>
      <c r="B19"/>
      <c r="C19"/>
      <c r="D19"/>
      <c r="E19"/>
    </row>
    <row r="20" spans="1:5" x14ac:dyDescent="0.25">
      <c r="A20"/>
      <c r="B20"/>
      <c r="C20"/>
      <c r="D20"/>
      <c r="E20"/>
    </row>
    <row r="21" spans="1:5" x14ac:dyDescent="0.25">
      <c r="A21"/>
      <c r="B21"/>
      <c r="C21"/>
      <c r="D21"/>
      <c r="E21"/>
    </row>
    <row r="22" spans="1:5" x14ac:dyDescent="0.25">
      <c r="A22" s="5" t="s">
        <v>1037</v>
      </c>
      <c r="B22" t="s">
        <v>1039</v>
      </c>
      <c r="C22"/>
      <c r="E22"/>
    </row>
    <row r="23" spans="1:5" x14ac:dyDescent="0.25">
      <c r="A23" s="6" t="s">
        <v>278</v>
      </c>
      <c r="B23" s="7">
        <v>32537</v>
      </c>
      <c r="C23"/>
      <c r="E23"/>
    </row>
    <row r="24" spans="1:5" x14ac:dyDescent="0.25">
      <c r="A24" s="6" t="s">
        <v>155</v>
      </c>
      <c r="B24" s="7">
        <v>76247</v>
      </c>
      <c r="C24"/>
      <c r="E24"/>
    </row>
    <row r="25" spans="1:5" x14ac:dyDescent="0.25">
      <c r="A25" s="6" t="s">
        <v>408</v>
      </c>
      <c r="B25" s="7">
        <v>18454</v>
      </c>
      <c r="C25"/>
      <c r="E25"/>
    </row>
    <row r="26" spans="1:5" x14ac:dyDescent="0.25">
      <c r="A26" s="6" t="s">
        <v>74</v>
      </c>
      <c r="B26" s="7">
        <v>30246</v>
      </c>
      <c r="C26"/>
      <c r="E26"/>
    </row>
    <row r="27" spans="1:5" x14ac:dyDescent="0.25">
      <c r="A27" s="6" t="s">
        <v>203</v>
      </c>
      <c r="B27" s="7">
        <v>36044</v>
      </c>
      <c r="C27"/>
      <c r="E27"/>
    </row>
    <row r="28" spans="1:5" x14ac:dyDescent="0.25">
      <c r="A28" s="6" t="s">
        <v>102</v>
      </c>
      <c r="B28" s="7">
        <v>29477</v>
      </c>
      <c r="C28"/>
      <c r="E28"/>
    </row>
    <row r="29" spans="1:5" x14ac:dyDescent="0.25">
      <c r="A29" s="6" t="s">
        <v>393</v>
      </c>
      <c r="B29" s="7">
        <v>15358</v>
      </c>
      <c r="C29"/>
      <c r="E29"/>
    </row>
    <row r="30" spans="1:5" x14ac:dyDescent="0.25">
      <c r="A30" s="6" t="s">
        <v>119</v>
      </c>
      <c r="B30" s="7">
        <v>113146</v>
      </c>
      <c r="C30"/>
      <c r="E30"/>
    </row>
    <row r="31" spans="1:5" x14ac:dyDescent="0.25">
      <c r="A31" s="6" t="s">
        <v>167</v>
      </c>
      <c r="B31" s="7">
        <v>33430</v>
      </c>
      <c r="C31"/>
      <c r="E31"/>
    </row>
    <row r="32" spans="1:5" x14ac:dyDescent="0.25">
      <c r="A32" s="6" t="s">
        <v>84</v>
      </c>
      <c r="B32" s="7">
        <v>40641</v>
      </c>
      <c r="C32"/>
      <c r="E32"/>
    </row>
    <row r="33" spans="1:3" x14ac:dyDescent="0.25">
      <c r="A33" s="6" t="s">
        <v>838</v>
      </c>
      <c r="B33" s="7">
        <v>6322</v>
      </c>
      <c r="C33"/>
    </row>
    <row r="34" spans="1:3" x14ac:dyDescent="0.25">
      <c r="A34" s="6" t="s">
        <v>60</v>
      </c>
      <c r="B34" s="7">
        <v>57748</v>
      </c>
      <c r="C34"/>
    </row>
    <row r="35" spans="1:3" x14ac:dyDescent="0.25">
      <c r="A35" s="6" t="s">
        <v>160</v>
      </c>
      <c r="B35" s="7">
        <v>33012</v>
      </c>
      <c r="C35"/>
    </row>
    <row r="36" spans="1:3" x14ac:dyDescent="0.25">
      <c r="A36" s="6" t="s">
        <v>19</v>
      </c>
      <c r="B36" s="7">
        <v>20320</v>
      </c>
      <c r="C36"/>
    </row>
    <row r="37" spans="1:3" x14ac:dyDescent="0.25">
      <c r="A37" s="6" t="s">
        <v>173</v>
      </c>
      <c r="B37" s="7">
        <v>27926</v>
      </c>
      <c r="C37"/>
    </row>
    <row r="38" spans="1:3" x14ac:dyDescent="0.25">
      <c r="A38" s="6" t="s">
        <v>146</v>
      </c>
      <c r="B38" s="7">
        <v>27037</v>
      </c>
      <c r="C38"/>
    </row>
    <row r="39" spans="1:3" x14ac:dyDescent="0.25">
      <c r="A39" s="6" t="s">
        <v>150</v>
      </c>
      <c r="B39" s="7">
        <v>27956</v>
      </c>
      <c r="C39"/>
    </row>
    <row r="40" spans="1:3" x14ac:dyDescent="0.25">
      <c r="A40" s="6" t="s">
        <v>93</v>
      </c>
      <c r="B40" s="7">
        <v>15576</v>
      </c>
    </row>
    <row r="41" spans="1:3" x14ac:dyDescent="0.25">
      <c r="A41" s="6" t="s">
        <v>187</v>
      </c>
      <c r="B41" s="7">
        <v>48800</v>
      </c>
    </row>
    <row r="42" spans="1:3" x14ac:dyDescent="0.25">
      <c r="A42" s="6" t="s">
        <v>40</v>
      </c>
      <c r="B42" s="7">
        <v>57402</v>
      </c>
    </row>
    <row r="43" spans="1:3" x14ac:dyDescent="0.25">
      <c r="A43" s="6" t="s">
        <v>411</v>
      </c>
      <c r="B43" s="7">
        <v>5598</v>
      </c>
    </row>
    <row r="44" spans="1:3" x14ac:dyDescent="0.25">
      <c r="A44" s="6" t="s">
        <v>138</v>
      </c>
      <c r="B44" s="7">
        <v>55387</v>
      </c>
    </row>
    <row r="45" spans="1:3" x14ac:dyDescent="0.25">
      <c r="A45" s="6" t="s">
        <v>57</v>
      </c>
      <c r="B45" s="7">
        <v>52556</v>
      </c>
    </row>
    <row r="46" spans="1:3" x14ac:dyDescent="0.25">
      <c r="A46" s="6" t="s">
        <v>129</v>
      </c>
      <c r="B46" s="7">
        <v>43273</v>
      </c>
    </row>
    <row r="47" spans="1:3" x14ac:dyDescent="0.25">
      <c r="A47" s="6" t="s">
        <v>349</v>
      </c>
      <c r="B47" s="7">
        <v>36786</v>
      </c>
    </row>
    <row r="48" spans="1:3" x14ac:dyDescent="0.25">
      <c r="A48" s="6" t="s">
        <v>25</v>
      </c>
      <c r="B48" s="7">
        <v>40374</v>
      </c>
    </row>
    <row r="49" spans="1:2" x14ac:dyDescent="0.25">
      <c r="A49" s="6" t="s">
        <v>176</v>
      </c>
      <c r="B49" s="7">
        <v>30375</v>
      </c>
    </row>
    <row r="50" spans="1:2" x14ac:dyDescent="0.25">
      <c r="A50" s="6" t="s">
        <v>116</v>
      </c>
      <c r="B50" s="7">
        <v>21326</v>
      </c>
    </row>
    <row r="51" spans="1:2" x14ac:dyDescent="0.25">
      <c r="A51" s="6" t="s">
        <v>402</v>
      </c>
      <c r="B51" s="7">
        <v>27361</v>
      </c>
    </row>
    <row r="52" spans="1:2" x14ac:dyDescent="0.25">
      <c r="A52" s="6" t="s">
        <v>80</v>
      </c>
      <c r="B52" s="7">
        <v>36083</v>
      </c>
    </row>
    <row r="53" spans="1:2" x14ac:dyDescent="0.25">
      <c r="A53" s="6" t="s">
        <v>88</v>
      </c>
      <c r="B53" s="7">
        <v>51763</v>
      </c>
    </row>
    <row r="54" spans="1:2" x14ac:dyDescent="0.25">
      <c r="A54" s="6" t="s">
        <v>400</v>
      </c>
      <c r="B54" s="7">
        <v>40483</v>
      </c>
    </row>
    <row r="55" spans="1:2" x14ac:dyDescent="0.25">
      <c r="A55" s="6" t="s">
        <v>233</v>
      </c>
      <c r="B55" s="7">
        <v>29115</v>
      </c>
    </row>
    <row r="56" spans="1:2" x14ac:dyDescent="0.25">
      <c r="A56" s="6" t="s">
        <v>45</v>
      </c>
      <c r="B56" s="7">
        <v>33181</v>
      </c>
    </row>
    <row r="57" spans="1:2" x14ac:dyDescent="0.25">
      <c r="A57" s="6" t="s">
        <v>105</v>
      </c>
      <c r="B57" s="7">
        <v>29673</v>
      </c>
    </row>
    <row r="58" spans="1:2" x14ac:dyDescent="0.25">
      <c r="A58" s="6" t="s">
        <v>192</v>
      </c>
      <c r="B58" s="7">
        <v>25590</v>
      </c>
    </row>
    <row r="59" spans="1:2" x14ac:dyDescent="0.25">
      <c r="A59" s="6" t="s">
        <v>110</v>
      </c>
      <c r="B59" s="7">
        <v>10753</v>
      </c>
    </row>
    <row r="60" spans="1:2" x14ac:dyDescent="0.25">
      <c r="A60" s="6" t="s">
        <v>180</v>
      </c>
      <c r="B60" s="7">
        <v>62119</v>
      </c>
    </row>
    <row r="61" spans="1:2" x14ac:dyDescent="0.25">
      <c r="A61" s="6" t="s">
        <v>135</v>
      </c>
      <c r="B61" s="7">
        <v>46796</v>
      </c>
    </row>
    <row r="62" spans="1:2" x14ac:dyDescent="0.25">
      <c r="A62" s="6" t="s">
        <v>13</v>
      </c>
      <c r="B62" s="7">
        <v>62509</v>
      </c>
    </row>
    <row r="63" spans="1:2" x14ac:dyDescent="0.25">
      <c r="A63" s="6" t="s">
        <v>12</v>
      </c>
      <c r="B63" s="7">
        <v>47843</v>
      </c>
    </row>
    <row r="64" spans="1:2" x14ac:dyDescent="0.25">
      <c r="A64" s="6" t="s">
        <v>132</v>
      </c>
      <c r="B64" s="7">
        <v>41201</v>
      </c>
    </row>
    <row r="65" spans="1:2" x14ac:dyDescent="0.25">
      <c r="A65" s="6" t="s">
        <v>35</v>
      </c>
      <c r="B65" s="7">
        <v>37060</v>
      </c>
    </row>
    <row r="66" spans="1:2" x14ac:dyDescent="0.25">
      <c r="A66" s="6" t="s">
        <v>63</v>
      </c>
      <c r="B66" s="7">
        <v>16209</v>
      </c>
    </row>
    <row r="67" spans="1:2" x14ac:dyDescent="0.25">
      <c r="A67" s="6" t="s">
        <v>98</v>
      </c>
      <c r="B67" s="7">
        <v>9827</v>
      </c>
    </row>
    <row r="68" spans="1:2" x14ac:dyDescent="0.25">
      <c r="A68" s="6" t="s">
        <v>30</v>
      </c>
      <c r="B68" s="7">
        <v>151240</v>
      </c>
    </row>
    <row r="69" spans="1:2" x14ac:dyDescent="0.25">
      <c r="A69" s="6" t="s">
        <v>50</v>
      </c>
      <c r="B69" s="7">
        <v>35291</v>
      </c>
    </row>
    <row r="70" spans="1:2" x14ac:dyDescent="0.25">
      <c r="A70" s="6" t="s">
        <v>228</v>
      </c>
      <c r="B70" s="7">
        <v>27469</v>
      </c>
    </row>
    <row r="71" spans="1:2" x14ac:dyDescent="0.25">
      <c r="A71" s="6" t="s">
        <v>1038</v>
      </c>
      <c r="B71" s="7">
        <v>1854920</v>
      </c>
    </row>
  </sheetData>
  <mergeCells count="6">
    <mergeCell ref="A13:B13"/>
    <mergeCell ref="A10:A12"/>
    <mergeCell ref="A9:B9"/>
    <mergeCell ref="A5:A8"/>
    <mergeCell ref="A17:B17"/>
    <mergeCell ref="A14:A16"/>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1:I15"/>
  <sheetViews>
    <sheetView workbookViewId="0">
      <selection activeCell="G29" sqref="G29"/>
    </sheetView>
  </sheetViews>
  <sheetFormatPr defaultRowHeight="15" x14ac:dyDescent="0.25"/>
  <cols>
    <col min="2" max="2" width="13.140625" bestFit="1" customWidth="1"/>
    <col min="3" max="3" width="12.5703125" bestFit="1" customWidth="1"/>
    <col min="4" max="4" width="15.85546875" bestFit="1" customWidth="1"/>
    <col min="5" max="5" width="12.5703125" bestFit="1" customWidth="1"/>
    <col min="6" max="6" width="13.140625" bestFit="1" customWidth="1"/>
    <col min="7" max="7" width="12.5703125" bestFit="1" customWidth="1"/>
    <col min="8" max="8" width="13" bestFit="1" customWidth="1"/>
    <col min="9" max="9" width="8" bestFit="1" customWidth="1"/>
    <col min="10" max="10" width="13" bestFit="1" customWidth="1"/>
    <col min="11" max="11" width="8" bestFit="1" customWidth="1"/>
  </cols>
  <sheetData>
    <row r="1" spans="4:9" x14ac:dyDescent="0.25">
      <c r="D1" s="5" t="s">
        <v>1037</v>
      </c>
      <c r="E1" t="s">
        <v>1040</v>
      </c>
      <c r="H1" s="5" t="s">
        <v>1040</v>
      </c>
    </row>
    <row r="2" spans="4:9" x14ac:dyDescent="0.25">
      <c r="D2" s="6" t="s">
        <v>20</v>
      </c>
      <c r="E2" s="7">
        <v>402802</v>
      </c>
      <c r="H2" s="5" t="s">
        <v>1</v>
      </c>
      <c r="I2" t="s">
        <v>1041</v>
      </c>
    </row>
    <row r="3" spans="4:9" x14ac:dyDescent="0.25">
      <c r="D3" s="13" t="s">
        <v>29</v>
      </c>
      <c r="E3" s="7">
        <v>88625</v>
      </c>
      <c r="H3" s="12" t="s">
        <v>1042</v>
      </c>
      <c r="I3" s="7">
        <v>90254</v>
      </c>
    </row>
    <row r="4" spans="4:9" x14ac:dyDescent="0.25">
      <c r="D4" s="13" t="s">
        <v>23</v>
      </c>
      <c r="E4" s="7">
        <v>125001</v>
      </c>
      <c r="H4" s="12" t="s">
        <v>1043</v>
      </c>
      <c r="I4" s="7">
        <v>84645</v>
      </c>
    </row>
    <row r="5" spans="4:9" x14ac:dyDescent="0.25">
      <c r="D5" s="13" t="s">
        <v>43</v>
      </c>
      <c r="E5" s="7">
        <v>96649</v>
      </c>
      <c r="H5" s="12" t="s">
        <v>1044</v>
      </c>
      <c r="I5" s="7">
        <v>82112</v>
      </c>
    </row>
    <row r="6" spans="4:9" x14ac:dyDescent="0.25">
      <c r="D6" s="13" t="s">
        <v>48</v>
      </c>
      <c r="E6" s="7">
        <v>92527</v>
      </c>
      <c r="H6" s="12" t="s">
        <v>1045</v>
      </c>
      <c r="I6" s="7">
        <v>81580</v>
      </c>
    </row>
    <row r="7" spans="4:9" x14ac:dyDescent="0.25">
      <c r="D7" s="6" t="s">
        <v>14</v>
      </c>
      <c r="E7" s="7">
        <v>361666</v>
      </c>
      <c r="H7" s="12" t="s">
        <v>1046</v>
      </c>
      <c r="I7" s="7">
        <v>130965</v>
      </c>
    </row>
    <row r="8" spans="4:9" x14ac:dyDescent="0.25">
      <c r="D8" s="13" t="s">
        <v>91</v>
      </c>
      <c r="E8" s="7">
        <v>110142</v>
      </c>
      <c r="H8" s="12" t="s">
        <v>1047</v>
      </c>
      <c r="I8" s="7">
        <v>92536</v>
      </c>
    </row>
    <row r="9" spans="4:9" x14ac:dyDescent="0.25">
      <c r="D9" s="13" t="s">
        <v>72</v>
      </c>
      <c r="E9" s="7">
        <v>145350</v>
      </c>
      <c r="H9" s="12" t="s">
        <v>1048</v>
      </c>
      <c r="I9" s="7">
        <v>74755</v>
      </c>
    </row>
    <row r="10" spans="4:9" x14ac:dyDescent="0.25">
      <c r="D10" s="13" t="s">
        <v>33</v>
      </c>
      <c r="E10" s="7">
        <v>106174</v>
      </c>
      <c r="H10" s="12" t="s">
        <v>1049</v>
      </c>
      <c r="I10" s="7">
        <v>102547</v>
      </c>
    </row>
    <row r="11" spans="4:9" x14ac:dyDescent="0.25">
      <c r="D11" s="6" t="s">
        <v>1057</v>
      </c>
      <c r="E11" s="7">
        <v>345551</v>
      </c>
      <c r="H11" s="12" t="s">
        <v>1050</v>
      </c>
      <c r="I11" s="7">
        <v>112911</v>
      </c>
    </row>
    <row r="12" spans="4:9" x14ac:dyDescent="0.25">
      <c r="D12" s="13" t="s">
        <v>38</v>
      </c>
      <c r="E12" s="7">
        <v>110405</v>
      </c>
      <c r="H12" s="12" t="s">
        <v>1051</v>
      </c>
      <c r="I12" s="7">
        <v>82483</v>
      </c>
    </row>
    <row r="13" spans="4:9" x14ac:dyDescent="0.25">
      <c r="D13" s="13" t="s">
        <v>17</v>
      </c>
      <c r="E13" s="7">
        <v>107953</v>
      </c>
      <c r="H13" s="12" t="s">
        <v>1052</v>
      </c>
      <c r="I13" s="7">
        <v>90858</v>
      </c>
    </row>
    <row r="14" spans="4:9" x14ac:dyDescent="0.25">
      <c r="D14" s="13" t="s">
        <v>11</v>
      </c>
      <c r="E14" s="7">
        <v>127193</v>
      </c>
      <c r="H14" s="12" t="s">
        <v>1053</v>
      </c>
      <c r="I14" s="7">
        <v>84373</v>
      </c>
    </row>
    <row r="15" spans="4:9" x14ac:dyDescent="0.25">
      <c r="D15" s="6" t="s">
        <v>1038</v>
      </c>
      <c r="E15" s="7">
        <v>1110019</v>
      </c>
      <c r="H15" s="12" t="s">
        <v>1038</v>
      </c>
      <c r="I15" s="7">
        <v>1110019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6FC5-2920-4128-BFA9-9B3AE5354359}">
  <dimension ref="A1:M40"/>
  <sheetViews>
    <sheetView topLeftCell="A17" zoomScale="130" zoomScaleNormal="130" workbookViewId="0">
      <selection activeCell="G27" sqref="G27"/>
    </sheetView>
  </sheetViews>
  <sheetFormatPr defaultRowHeight="15" x14ac:dyDescent="0.25"/>
  <cols>
    <col min="1" max="1" width="13.140625" bestFit="1" customWidth="1"/>
    <col min="2" max="2" width="12.5703125" bestFit="1" customWidth="1"/>
    <col min="3" max="3" width="15.7109375" bestFit="1" customWidth="1"/>
    <col min="6" max="6" width="13.140625" bestFit="1" customWidth="1"/>
    <col min="7" max="7" width="12.5703125" bestFit="1" customWidth="1"/>
    <col min="8" max="8" width="13.7109375" bestFit="1" customWidth="1"/>
    <col min="11" max="11" width="16.140625" bestFit="1" customWidth="1"/>
    <col min="12" max="12" width="12" bestFit="1" customWidth="1"/>
    <col min="13" max="13" width="8.5703125" bestFit="1" customWidth="1"/>
  </cols>
  <sheetData>
    <row r="1" spans="1:13" ht="21.75" customHeight="1" x14ac:dyDescent="0.25">
      <c r="A1" s="37" t="s">
        <v>1060</v>
      </c>
      <c r="B1" s="38"/>
      <c r="C1" s="38"/>
      <c r="F1" s="37" t="s">
        <v>1061</v>
      </c>
      <c r="G1" s="38"/>
      <c r="H1" s="38"/>
      <c r="K1" s="37" t="s">
        <v>1065</v>
      </c>
      <c r="L1" s="38"/>
      <c r="M1" s="38"/>
    </row>
    <row r="2" spans="1:13" x14ac:dyDescent="0.25">
      <c r="A2" s="38"/>
      <c r="B2" s="38"/>
      <c r="C2" s="38"/>
      <c r="F2" s="38"/>
      <c r="G2" s="38"/>
      <c r="H2" s="38"/>
      <c r="K2" s="38"/>
      <c r="L2" s="38"/>
      <c r="M2" s="38"/>
    </row>
    <row r="3" spans="1:13" x14ac:dyDescent="0.25">
      <c r="A3" s="5" t="s">
        <v>1037</v>
      </c>
      <c r="B3" t="s">
        <v>1040</v>
      </c>
      <c r="C3" t="s">
        <v>1060</v>
      </c>
      <c r="F3" s="5" t="s">
        <v>1037</v>
      </c>
      <c r="G3" t="s">
        <v>1040</v>
      </c>
      <c r="H3" t="s">
        <v>1061</v>
      </c>
      <c r="K3" s="5" t="s">
        <v>6</v>
      </c>
      <c r="L3" s="5" t="s">
        <v>3</v>
      </c>
      <c r="M3" t="s">
        <v>1041</v>
      </c>
    </row>
    <row r="4" spans="1:13" x14ac:dyDescent="0.25">
      <c r="A4" s="6" t="s">
        <v>29</v>
      </c>
      <c r="B4" s="7">
        <v>88625</v>
      </c>
      <c r="C4" s="15">
        <v>7.9840975695010627E-2</v>
      </c>
      <c r="F4" s="6" t="s">
        <v>29</v>
      </c>
      <c r="G4" s="7">
        <v>88625</v>
      </c>
      <c r="H4" s="15">
        <v>0.60973512211902303</v>
      </c>
      <c r="K4" t="s">
        <v>26</v>
      </c>
      <c r="L4" t="s">
        <v>29</v>
      </c>
      <c r="M4" s="15">
        <v>0.16962728889178114</v>
      </c>
    </row>
    <row r="5" spans="1:13" x14ac:dyDescent="0.25">
      <c r="A5" s="6" t="s">
        <v>23</v>
      </c>
      <c r="B5" s="7">
        <v>125001</v>
      </c>
      <c r="C5" s="15">
        <v>0.11261158592780844</v>
      </c>
      <c r="F5" s="6" t="s">
        <v>23</v>
      </c>
      <c r="G5" s="7">
        <v>125001</v>
      </c>
      <c r="H5" s="15">
        <v>0.86</v>
      </c>
      <c r="L5" t="s">
        <v>23</v>
      </c>
      <c r="M5" s="15">
        <v>0.23925055840633608</v>
      </c>
    </row>
    <row r="6" spans="1:13" x14ac:dyDescent="0.25">
      <c r="A6" s="6" t="s">
        <v>43</v>
      </c>
      <c r="B6" s="7">
        <v>96649</v>
      </c>
      <c r="C6" s="15">
        <v>8.7069680789247747E-2</v>
      </c>
      <c r="F6" s="6" t="s">
        <v>43</v>
      </c>
      <c r="G6" s="7">
        <v>96649</v>
      </c>
      <c r="H6" s="15">
        <v>0.66493980048159618</v>
      </c>
      <c r="L6" t="s">
        <v>48</v>
      </c>
      <c r="M6" s="15">
        <v>0.17709567457590786</v>
      </c>
    </row>
    <row r="7" spans="1:13" x14ac:dyDescent="0.25">
      <c r="A7" s="6" t="s">
        <v>48</v>
      </c>
      <c r="B7" s="7">
        <v>92527</v>
      </c>
      <c r="C7" s="15">
        <v>8.3356230839291945E-2</v>
      </c>
      <c r="F7" s="6" t="s">
        <v>48</v>
      </c>
      <c r="G7" s="7">
        <v>92527</v>
      </c>
      <c r="H7" s="15">
        <v>0.63658066735466112</v>
      </c>
      <c r="L7" t="s">
        <v>91</v>
      </c>
      <c r="M7" s="15">
        <v>0.21081059354717696</v>
      </c>
    </row>
    <row r="8" spans="1:13" x14ac:dyDescent="0.25">
      <c r="A8" s="6" t="s">
        <v>91</v>
      </c>
      <c r="B8" s="7">
        <v>110142</v>
      </c>
      <c r="C8" s="15">
        <v>9.9225328575456823E-2</v>
      </c>
      <c r="F8" s="6" t="s">
        <v>91</v>
      </c>
      <c r="G8" s="7">
        <v>110142</v>
      </c>
      <c r="H8" s="15">
        <v>0.75777089783281737</v>
      </c>
      <c r="L8" t="s">
        <v>33</v>
      </c>
      <c r="M8" s="15">
        <v>0.20321588457879797</v>
      </c>
    </row>
    <row r="9" spans="1:13" x14ac:dyDescent="0.25">
      <c r="A9" s="6" t="s">
        <v>72</v>
      </c>
      <c r="B9" s="7">
        <v>145350</v>
      </c>
      <c r="C9" s="15">
        <v>0.13094370456721913</v>
      </c>
      <c r="F9" s="6" t="s">
        <v>72</v>
      </c>
      <c r="G9" s="7">
        <v>145350</v>
      </c>
      <c r="H9" s="15">
        <v>1</v>
      </c>
      <c r="K9" t="s">
        <v>1062</v>
      </c>
      <c r="M9" s="15">
        <v>1</v>
      </c>
    </row>
    <row r="10" spans="1:13" x14ac:dyDescent="0.25">
      <c r="A10" s="6" t="s">
        <v>33</v>
      </c>
      <c r="B10" s="7">
        <v>106174</v>
      </c>
      <c r="C10" s="15">
        <v>9.5650614989473151E-2</v>
      </c>
      <c r="F10" s="6" t="s">
        <v>33</v>
      </c>
      <c r="G10" s="7">
        <v>106174</v>
      </c>
      <c r="H10" s="15">
        <v>0.73047127622979013</v>
      </c>
      <c r="K10" t="s">
        <v>14</v>
      </c>
      <c r="L10" t="s">
        <v>43</v>
      </c>
      <c r="M10" s="15">
        <v>0.28915442771363692</v>
      </c>
    </row>
    <row r="11" spans="1:13" x14ac:dyDescent="0.25">
      <c r="A11" s="6" t="s">
        <v>38</v>
      </c>
      <c r="B11" s="7">
        <v>110405</v>
      </c>
      <c r="C11" s="15">
        <v>9.9462261456785869E-2</v>
      </c>
      <c r="F11" s="6" t="s">
        <v>38</v>
      </c>
      <c r="G11" s="7">
        <v>110405</v>
      </c>
      <c r="H11" s="15">
        <v>0.7595803233574131</v>
      </c>
      <c r="L11" t="s">
        <v>38</v>
      </c>
      <c r="M11" s="15">
        <v>0.33030962132794012</v>
      </c>
    </row>
    <row r="12" spans="1:13" x14ac:dyDescent="0.25">
      <c r="A12" s="6" t="s">
        <v>17</v>
      </c>
      <c r="B12" s="7">
        <v>107953</v>
      </c>
      <c r="C12" s="15">
        <v>9.7253290258995567E-2</v>
      </c>
      <c r="F12" s="6" t="s">
        <v>17</v>
      </c>
      <c r="G12" s="7">
        <v>107953</v>
      </c>
      <c r="H12" s="15">
        <v>0.7427106983144135</v>
      </c>
      <c r="L12" t="s">
        <v>11</v>
      </c>
      <c r="M12" s="15">
        <v>0.38053595095842296</v>
      </c>
    </row>
    <row r="13" spans="1:13" x14ac:dyDescent="0.25">
      <c r="A13" s="6" t="s">
        <v>11</v>
      </c>
      <c r="B13" s="7">
        <v>127193</v>
      </c>
      <c r="C13" s="15">
        <v>0.1145863269007107</v>
      </c>
      <c r="F13" s="6" t="s">
        <v>11</v>
      </c>
      <c r="G13" s="7">
        <v>127193</v>
      </c>
      <c r="H13" s="15">
        <v>0.87508083935328518</v>
      </c>
      <c r="K13" t="s">
        <v>1063</v>
      </c>
      <c r="M13" s="15">
        <v>1</v>
      </c>
    </row>
    <row r="14" spans="1:13" x14ac:dyDescent="0.25">
      <c r="A14" s="6" t="s">
        <v>1038</v>
      </c>
      <c r="B14" s="7">
        <v>1110019</v>
      </c>
      <c r="C14" s="15">
        <v>1</v>
      </c>
      <c r="F14" s="6" t="s">
        <v>1038</v>
      </c>
      <c r="G14" s="7">
        <v>1110019</v>
      </c>
      <c r="H14" s="15"/>
      <c r="K14" t="s">
        <v>20</v>
      </c>
      <c r="L14" t="s">
        <v>72</v>
      </c>
      <c r="M14" s="15">
        <v>0.57381870723994588</v>
      </c>
    </row>
    <row r="15" spans="1:13" x14ac:dyDescent="0.25">
      <c r="L15" t="s">
        <v>17</v>
      </c>
      <c r="M15" s="15">
        <v>0.42618129276005418</v>
      </c>
    </row>
    <row r="16" spans="1:13" x14ac:dyDescent="0.25">
      <c r="K16" t="s">
        <v>1064</v>
      </c>
      <c r="M16" s="15">
        <v>1</v>
      </c>
    </row>
    <row r="17" spans="1:13" x14ac:dyDescent="0.25">
      <c r="K17" t="s">
        <v>1038</v>
      </c>
      <c r="M17" s="15"/>
    </row>
    <row r="25" spans="1:13" x14ac:dyDescent="0.25">
      <c r="A25" s="37" t="s">
        <v>1066</v>
      </c>
      <c r="B25" s="38"/>
      <c r="C25" s="38"/>
      <c r="F25" s="37" t="s">
        <v>1067</v>
      </c>
      <c r="G25" s="38"/>
      <c r="H25" s="38"/>
    </row>
    <row r="26" spans="1:13" x14ac:dyDescent="0.25">
      <c r="A26" s="38"/>
      <c r="B26" s="38"/>
      <c r="C26" s="38"/>
      <c r="F26" s="38"/>
      <c r="G26" s="38"/>
      <c r="H26" s="38"/>
    </row>
    <row r="27" spans="1:13" x14ac:dyDescent="0.25">
      <c r="A27" s="5" t="s">
        <v>1037</v>
      </c>
      <c r="B27" t="s">
        <v>1040</v>
      </c>
      <c r="C27" t="s">
        <v>1066</v>
      </c>
      <c r="F27" s="5" t="s">
        <v>1037</v>
      </c>
      <c r="G27" t="s">
        <v>1040</v>
      </c>
      <c r="H27" t="s">
        <v>1059</v>
      </c>
    </row>
    <row r="28" spans="1:13" x14ac:dyDescent="0.25">
      <c r="A28" s="6" t="s">
        <v>29</v>
      </c>
      <c r="B28" s="7">
        <v>88625</v>
      </c>
      <c r="C28" s="7">
        <v>10</v>
      </c>
      <c r="F28" s="16" t="s">
        <v>1042</v>
      </c>
      <c r="G28" s="15">
        <v>8.1308518142482245E-2</v>
      </c>
      <c r="H28" s="7">
        <v>90254</v>
      </c>
    </row>
    <row r="29" spans="1:13" x14ac:dyDescent="0.25">
      <c r="A29" s="6" t="s">
        <v>23</v>
      </c>
      <c r="B29" s="7">
        <v>125001</v>
      </c>
      <c r="C29" s="7">
        <v>3</v>
      </c>
      <c r="F29" s="16" t="s">
        <v>1043</v>
      </c>
      <c r="G29" s="15">
        <v>7.6255451483262904E-2</v>
      </c>
      <c r="H29" s="7">
        <v>84645</v>
      </c>
    </row>
    <row r="30" spans="1:13" x14ac:dyDescent="0.25">
      <c r="A30" s="6" t="s">
        <v>43</v>
      </c>
      <c r="B30" s="7">
        <v>96649</v>
      </c>
      <c r="C30" s="7">
        <v>8</v>
      </c>
      <c r="F30" s="16" t="s">
        <v>1044</v>
      </c>
      <c r="G30" s="15">
        <v>7.3973508561565163E-2</v>
      </c>
      <c r="H30" s="7">
        <v>82112</v>
      </c>
    </row>
    <row r="31" spans="1:13" x14ac:dyDescent="0.25">
      <c r="A31" s="6" t="s">
        <v>48</v>
      </c>
      <c r="B31" s="7">
        <v>92527</v>
      </c>
      <c r="C31" s="7">
        <v>9</v>
      </c>
      <c r="F31" s="16" t="s">
        <v>1045</v>
      </c>
      <c r="G31" s="15">
        <v>7.3494237486025016E-2</v>
      </c>
      <c r="H31" s="7">
        <v>81580</v>
      </c>
    </row>
    <row r="32" spans="1:13" x14ac:dyDescent="0.25">
      <c r="A32" s="6" t="s">
        <v>91</v>
      </c>
      <c r="B32" s="7">
        <v>110142</v>
      </c>
      <c r="C32" s="7">
        <v>5</v>
      </c>
      <c r="F32" s="16" t="s">
        <v>1046</v>
      </c>
      <c r="G32" s="15">
        <v>0.11798446693254801</v>
      </c>
      <c r="H32" s="7">
        <v>130965</v>
      </c>
    </row>
    <row r="33" spans="1:8" x14ac:dyDescent="0.25">
      <c r="A33" s="6" t="s">
        <v>72</v>
      </c>
      <c r="B33" s="7">
        <v>145350</v>
      </c>
      <c r="C33" s="7">
        <v>1</v>
      </c>
      <c r="F33" s="16" t="s">
        <v>1047</v>
      </c>
      <c r="G33" s="15">
        <v>8.3364338808614991E-2</v>
      </c>
      <c r="H33" s="7">
        <v>92536</v>
      </c>
    </row>
    <row r="34" spans="1:8" x14ac:dyDescent="0.25">
      <c r="A34" s="6" t="s">
        <v>33</v>
      </c>
      <c r="B34" s="7">
        <v>106174</v>
      </c>
      <c r="C34" s="7">
        <v>7</v>
      </c>
      <c r="F34" s="16" t="s">
        <v>1048</v>
      </c>
      <c r="G34" s="15">
        <v>6.7345694082713903E-2</v>
      </c>
      <c r="H34" s="7">
        <v>74755</v>
      </c>
    </row>
    <row r="35" spans="1:8" x14ac:dyDescent="0.25">
      <c r="A35" s="6" t="s">
        <v>38</v>
      </c>
      <c r="B35" s="7">
        <v>110405</v>
      </c>
      <c r="C35" s="7">
        <v>4</v>
      </c>
      <c r="F35" s="16" t="s">
        <v>1049</v>
      </c>
      <c r="G35" s="15">
        <v>9.2383103352284959E-2</v>
      </c>
      <c r="H35" s="7">
        <v>102547</v>
      </c>
    </row>
    <row r="36" spans="1:8" x14ac:dyDescent="0.25">
      <c r="A36" s="6" t="s">
        <v>17</v>
      </c>
      <c r="B36" s="7">
        <v>107953</v>
      </c>
      <c r="C36" s="7">
        <v>6</v>
      </c>
      <c r="F36" s="16" t="s">
        <v>1050</v>
      </c>
      <c r="G36" s="15">
        <v>0.10171988047051447</v>
      </c>
      <c r="H36" s="7">
        <v>112911</v>
      </c>
    </row>
    <row r="37" spans="1:8" x14ac:dyDescent="0.25">
      <c r="A37" s="6" t="s">
        <v>11</v>
      </c>
      <c r="B37" s="7">
        <v>127193</v>
      </c>
      <c r="C37" s="7">
        <v>2</v>
      </c>
      <c r="F37" s="16" t="s">
        <v>1051</v>
      </c>
      <c r="G37" s="15">
        <v>7.4307737074770785E-2</v>
      </c>
      <c r="H37" s="7">
        <v>82483</v>
      </c>
    </row>
    <row r="38" spans="1:8" x14ac:dyDescent="0.25">
      <c r="A38" s="6" t="s">
        <v>1038</v>
      </c>
      <c r="B38" s="7">
        <v>1110019</v>
      </c>
      <c r="C38" s="7"/>
      <c r="F38" s="16" t="s">
        <v>1052</v>
      </c>
      <c r="G38" s="15">
        <v>8.1852652972606771E-2</v>
      </c>
      <c r="H38" s="7">
        <v>90858</v>
      </c>
    </row>
    <row r="39" spans="1:8" x14ac:dyDescent="0.25">
      <c r="F39" s="16" t="s">
        <v>1053</v>
      </c>
      <c r="G39" s="15">
        <v>7.6010410632610798E-2</v>
      </c>
      <c r="H39" s="7">
        <v>84373</v>
      </c>
    </row>
    <row r="40" spans="1:8" x14ac:dyDescent="0.25">
      <c r="F40" s="16" t="s">
        <v>1038</v>
      </c>
      <c r="G40" s="15">
        <v>1</v>
      </c>
      <c r="H40" s="7">
        <v>1110019</v>
      </c>
    </row>
  </sheetData>
  <mergeCells count="5">
    <mergeCell ref="A1:C2"/>
    <mergeCell ref="F1:H2"/>
    <mergeCell ref="K1:M2"/>
    <mergeCell ref="A25:C26"/>
    <mergeCell ref="F25:H26"/>
  </mergeCell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9"/>
  <sheetViews>
    <sheetView workbookViewId="0">
      <selection activeCell="H10" sqref="H10"/>
    </sheetView>
  </sheetViews>
  <sheetFormatPr defaultRowHeight="15" x14ac:dyDescent="0.25"/>
  <cols>
    <col min="1" max="1" width="17.42578125" bestFit="1" customWidth="1"/>
    <col min="2" max="2" width="12.140625" bestFit="1" customWidth="1"/>
    <col min="3" max="3" width="16.85546875" bestFit="1" customWidth="1"/>
    <col min="4" max="4" width="13.140625" bestFit="1" customWidth="1"/>
  </cols>
  <sheetData>
    <row r="1" spans="1:3" x14ac:dyDescent="0.25">
      <c r="A1" s="5" t="s">
        <v>1037</v>
      </c>
      <c r="B1" t="s">
        <v>1039</v>
      </c>
      <c r="C1" t="s">
        <v>1068</v>
      </c>
    </row>
    <row r="2" spans="1:3" x14ac:dyDescent="0.25">
      <c r="A2" s="6" t="s">
        <v>278</v>
      </c>
      <c r="B2" s="7">
        <v>32537</v>
      </c>
      <c r="C2" s="7">
        <v>325.37</v>
      </c>
    </row>
    <row r="3" spans="1:3" x14ac:dyDescent="0.25">
      <c r="A3" s="6" t="s">
        <v>155</v>
      </c>
      <c r="B3" s="7">
        <v>76247</v>
      </c>
      <c r="C3" s="7">
        <v>762.47</v>
      </c>
    </row>
    <row r="4" spans="1:3" x14ac:dyDescent="0.25">
      <c r="A4" s="6" t="s">
        <v>408</v>
      </c>
      <c r="B4" s="7">
        <v>18454</v>
      </c>
      <c r="C4" s="7">
        <v>184.54</v>
      </c>
    </row>
    <row r="5" spans="1:3" x14ac:dyDescent="0.25">
      <c r="A5" s="6" t="s">
        <v>74</v>
      </c>
      <c r="B5" s="7">
        <v>30246</v>
      </c>
      <c r="C5" s="7">
        <v>302.45999999999998</v>
      </c>
    </row>
    <row r="6" spans="1:3" x14ac:dyDescent="0.25">
      <c r="A6" s="6" t="s">
        <v>203</v>
      </c>
      <c r="B6" s="7">
        <v>36044</v>
      </c>
      <c r="C6" s="7">
        <v>360.44</v>
      </c>
    </row>
    <row r="7" spans="1:3" x14ac:dyDescent="0.25">
      <c r="A7" s="6" t="s">
        <v>102</v>
      </c>
      <c r="B7" s="7">
        <v>29477</v>
      </c>
      <c r="C7" s="7">
        <v>294.77</v>
      </c>
    </row>
    <row r="8" spans="1:3" x14ac:dyDescent="0.25">
      <c r="A8" s="6" t="s">
        <v>393</v>
      </c>
      <c r="B8" s="7">
        <v>15358</v>
      </c>
      <c r="C8" s="7">
        <v>153.58000000000001</v>
      </c>
    </row>
    <row r="9" spans="1:3" x14ac:dyDescent="0.25">
      <c r="A9" s="6" t="s">
        <v>119</v>
      </c>
      <c r="B9" s="7">
        <v>113146</v>
      </c>
      <c r="C9" s="7">
        <v>1131.46</v>
      </c>
    </row>
    <row r="10" spans="1:3" x14ac:dyDescent="0.25">
      <c r="A10" s="6" t="s">
        <v>167</v>
      </c>
      <c r="B10" s="7">
        <v>33430</v>
      </c>
      <c r="C10" s="7">
        <v>334.3</v>
      </c>
    </row>
    <row r="11" spans="1:3" x14ac:dyDescent="0.25">
      <c r="A11" s="6" t="s">
        <v>84</v>
      </c>
      <c r="B11" s="7">
        <v>40641</v>
      </c>
      <c r="C11" s="7">
        <v>406.41</v>
      </c>
    </row>
    <row r="12" spans="1:3" x14ac:dyDescent="0.25">
      <c r="A12" s="6" t="s">
        <v>838</v>
      </c>
      <c r="B12" s="7">
        <v>6322</v>
      </c>
      <c r="C12" s="7">
        <v>63.22</v>
      </c>
    </row>
    <row r="13" spans="1:3" x14ac:dyDescent="0.25">
      <c r="A13" s="6" t="s">
        <v>60</v>
      </c>
      <c r="B13" s="7">
        <v>57748</v>
      </c>
      <c r="C13" s="7">
        <v>577.48</v>
      </c>
    </row>
    <row r="14" spans="1:3" x14ac:dyDescent="0.25">
      <c r="A14" s="6" t="s">
        <v>160</v>
      </c>
      <c r="B14" s="7">
        <v>33012</v>
      </c>
      <c r="C14" s="7">
        <v>330.12</v>
      </c>
    </row>
    <row r="15" spans="1:3" x14ac:dyDescent="0.25">
      <c r="A15" s="6" t="s">
        <v>19</v>
      </c>
      <c r="B15" s="7">
        <v>20320</v>
      </c>
      <c r="C15" s="7">
        <v>203.20000000000002</v>
      </c>
    </row>
    <row r="16" spans="1:3" x14ac:dyDescent="0.25">
      <c r="A16" s="6" t="s">
        <v>173</v>
      </c>
      <c r="B16" s="7">
        <v>27926</v>
      </c>
      <c r="C16" s="7">
        <v>279.26</v>
      </c>
    </row>
    <row r="17" spans="1:3" x14ac:dyDescent="0.25">
      <c r="A17" s="6" t="s">
        <v>146</v>
      </c>
      <c r="B17" s="7">
        <v>27037</v>
      </c>
      <c r="C17" s="7">
        <v>270.37</v>
      </c>
    </row>
    <row r="18" spans="1:3" x14ac:dyDescent="0.25">
      <c r="A18" s="6" t="s">
        <v>150</v>
      </c>
      <c r="B18" s="7">
        <v>27956</v>
      </c>
      <c r="C18" s="7">
        <v>279.56</v>
      </c>
    </row>
    <row r="19" spans="1:3" x14ac:dyDescent="0.25">
      <c r="A19" s="6" t="s">
        <v>93</v>
      </c>
      <c r="B19" s="7">
        <v>15576</v>
      </c>
      <c r="C19" s="7">
        <v>155.76</v>
      </c>
    </row>
    <row r="20" spans="1:3" x14ac:dyDescent="0.25">
      <c r="A20" s="6" t="s">
        <v>187</v>
      </c>
      <c r="B20" s="7">
        <v>48800</v>
      </c>
      <c r="C20" s="7">
        <v>488</v>
      </c>
    </row>
    <row r="21" spans="1:3" x14ac:dyDescent="0.25">
      <c r="A21" s="6" t="s">
        <v>40</v>
      </c>
      <c r="B21" s="7">
        <v>57402</v>
      </c>
      <c r="C21" s="7">
        <v>574.02</v>
      </c>
    </row>
    <row r="22" spans="1:3" x14ac:dyDescent="0.25">
      <c r="A22" s="6" t="s">
        <v>411</v>
      </c>
      <c r="B22" s="7">
        <v>5598</v>
      </c>
      <c r="C22" s="7">
        <v>55.980000000000004</v>
      </c>
    </row>
    <row r="23" spans="1:3" x14ac:dyDescent="0.25">
      <c r="A23" s="6" t="s">
        <v>138</v>
      </c>
      <c r="B23" s="7">
        <v>55387</v>
      </c>
      <c r="C23" s="7">
        <v>553.87</v>
      </c>
    </row>
    <row r="24" spans="1:3" x14ac:dyDescent="0.25">
      <c r="A24" s="6" t="s">
        <v>57</v>
      </c>
      <c r="B24" s="7">
        <v>52556</v>
      </c>
      <c r="C24" s="7">
        <v>525.56000000000006</v>
      </c>
    </row>
    <row r="25" spans="1:3" x14ac:dyDescent="0.25">
      <c r="A25" s="6" t="s">
        <v>129</v>
      </c>
      <c r="B25" s="7">
        <v>43273</v>
      </c>
      <c r="C25" s="7">
        <v>432.73</v>
      </c>
    </row>
    <row r="26" spans="1:3" x14ac:dyDescent="0.25">
      <c r="A26" s="6" t="s">
        <v>349</v>
      </c>
      <c r="B26" s="7">
        <v>36786</v>
      </c>
      <c r="C26" s="7">
        <v>367.86</v>
      </c>
    </row>
    <row r="27" spans="1:3" x14ac:dyDescent="0.25">
      <c r="A27" s="6" t="s">
        <v>25</v>
      </c>
      <c r="B27" s="7">
        <v>40374</v>
      </c>
      <c r="C27" s="7">
        <v>403.74</v>
      </c>
    </row>
    <row r="28" spans="1:3" x14ac:dyDescent="0.25">
      <c r="A28" s="6" t="s">
        <v>176</v>
      </c>
      <c r="B28" s="7">
        <v>30375</v>
      </c>
      <c r="C28" s="7">
        <v>303.75</v>
      </c>
    </row>
    <row r="29" spans="1:3" x14ac:dyDescent="0.25">
      <c r="A29" s="6" t="s">
        <v>116</v>
      </c>
      <c r="B29" s="7">
        <v>21326</v>
      </c>
      <c r="C29" s="7">
        <v>213.26</v>
      </c>
    </row>
    <row r="30" spans="1:3" x14ac:dyDescent="0.25">
      <c r="A30" s="6" t="s">
        <v>402</v>
      </c>
      <c r="B30" s="7">
        <v>27361</v>
      </c>
      <c r="C30" s="7">
        <v>273.61</v>
      </c>
    </row>
    <row r="31" spans="1:3" x14ac:dyDescent="0.25">
      <c r="A31" s="6" t="s">
        <v>80</v>
      </c>
      <c r="B31" s="7">
        <v>36083</v>
      </c>
      <c r="C31" s="7">
        <v>360.83</v>
      </c>
    </row>
    <row r="32" spans="1:3" x14ac:dyDescent="0.25">
      <c r="A32" s="6" t="s">
        <v>88</v>
      </c>
      <c r="B32" s="7">
        <v>51763</v>
      </c>
      <c r="C32" s="7">
        <v>517.63</v>
      </c>
    </row>
    <row r="33" spans="1:3" x14ac:dyDescent="0.25">
      <c r="A33" s="6" t="s">
        <v>400</v>
      </c>
      <c r="B33" s="7">
        <v>40483</v>
      </c>
      <c r="C33" s="7">
        <v>404.83</v>
      </c>
    </row>
    <row r="34" spans="1:3" x14ac:dyDescent="0.25">
      <c r="A34" s="6" t="s">
        <v>233</v>
      </c>
      <c r="B34" s="7">
        <v>29115</v>
      </c>
      <c r="C34" s="7">
        <v>291.15000000000003</v>
      </c>
    </row>
    <row r="35" spans="1:3" x14ac:dyDescent="0.25">
      <c r="A35" s="6" t="s">
        <v>45</v>
      </c>
      <c r="B35" s="7">
        <v>33181</v>
      </c>
      <c r="C35" s="7">
        <v>331.81</v>
      </c>
    </row>
    <row r="36" spans="1:3" x14ac:dyDescent="0.25">
      <c r="A36" s="6" t="s">
        <v>105</v>
      </c>
      <c r="B36" s="7">
        <v>29673</v>
      </c>
      <c r="C36" s="7">
        <v>296.73</v>
      </c>
    </row>
    <row r="37" spans="1:3" x14ac:dyDescent="0.25">
      <c r="A37" s="6" t="s">
        <v>192</v>
      </c>
      <c r="B37" s="7">
        <v>25590</v>
      </c>
      <c r="C37" s="7">
        <v>255.9</v>
      </c>
    </row>
    <row r="38" spans="1:3" x14ac:dyDescent="0.25">
      <c r="A38" s="6" t="s">
        <v>110</v>
      </c>
      <c r="B38" s="7">
        <v>10753</v>
      </c>
      <c r="C38" s="7">
        <v>107.53</v>
      </c>
    </row>
    <row r="39" spans="1:3" x14ac:dyDescent="0.25">
      <c r="A39" s="6" t="s">
        <v>180</v>
      </c>
      <c r="B39" s="7">
        <v>62119</v>
      </c>
      <c r="C39" s="7">
        <v>621.19000000000005</v>
      </c>
    </row>
    <row r="40" spans="1:3" x14ac:dyDescent="0.25">
      <c r="A40" s="6" t="s">
        <v>135</v>
      </c>
      <c r="B40" s="7">
        <v>46796</v>
      </c>
      <c r="C40" s="7">
        <v>467.96000000000004</v>
      </c>
    </row>
    <row r="41" spans="1:3" x14ac:dyDescent="0.25">
      <c r="A41" s="6" t="s">
        <v>13</v>
      </c>
      <c r="B41" s="7">
        <v>62509</v>
      </c>
      <c r="C41" s="7">
        <v>625.09</v>
      </c>
    </row>
    <row r="42" spans="1:3" x14ac:dyDescent="0.25">
      <c r="A42" s="6" t="s">
        <v>12</v>
      </c>
      <c r="B42" s="7">
        <v>47843</v>
      </c>
      <c r="C42" s="7">
        <v>478.43</v>
      </c>
    </row>
    <row r="43" spans="1:3" x14ac:dyDescent="0.25">
      <c r="A43" s="6" t="s">
        <v>132</v>
      </c>
      <c r="B43" s="7">
        <v>41201</v>
      </c>
      <c r="C43" s="7">
        <v>412.01</v>
      </c>
    </row>
    <row r="44" spans="1:3" x14ac:dyDescent="0.25">
      <c r="A44" s="6" t="s">
        <v>35</v>
      </c>
      <c r="B44" s="7">
        <v>37060</v>
      </c>
      <c r="C44" s="7">
        <v>370.6</v>
      </c>
    </row>
    <row r="45" spans="1:3" x14ac:dyDescent="0.25">
      <c r="A45" s="6" t="s">
        <v>63</v>
      </c>
      <c r="B45" s="7">
        <v>16209</v>
      </c>
      <c r="C45" s="7">
        <v>162.09</v>
      </c>
    </row>
    <row r="46" spans="1:3" x14ac:dyDescent="0.25">
      <c r="A46" s="6" t="s">
        <v>98</v>
      </c>
      <c r="B46" s="7">
        <v>9827</v>
      </c>
      <c r="C46" s="7">
        <v>98.27</v>
      </c>
    </row>
    <row r="47" spans="1:3" x14ac:dyDescent="0.25">
      <c r="A47" s="6" t="s">
        <v>30</v>
      </c>
      <c r="B47" s="7">
        <v>151240</v>
      </c>
      <c r="C47" s="7">
        <v>1512.4</v>
      </c>
    </row>
    <row r="48" spans="1:3" x14ac:dyDescent="0.25">
      <c r="A48" s="6" t="s">
        <v>50</v>
      </c>
      <c r="B48" s="7">
        <v>35291</v>
      </c>
      <c r="C48" s="7">
        <v>352.91</v>
      </c>
    </row>
    <row r="49" spans="1:3" x14ac:dyDescent="0.25">
      <c r="A49" s="6" t="s">
        <v>228</v>
      </c>
      <c r="B49" s="7">
        <v>27469</v>
      </c>
      <c r="C49" s="7">
        <v>274.69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4A55-7F78-4C01-9F1D-46E64DB6B4F8}">
  <dimension ref="A3:E18"/>
  <sheetViews>
    <sheetView workbookViewId="0">
      <selection activeCell="G30" sqref="G30"/>
    </sheetView>
  </sheetViews>
  <sheetFormatPr defaultRowHeight="15" x14ac:dyDescent="0.25"/>
  <cols>
    <col min="1" max="1" width="15.42578125" bestFit="1" customWidth="1"/>
    <col min="2" max="2" width="12.5703125" bestFit="1" customWidth="1"/>
    <col min="4" max="4" width="7.140625" bestFit="1" customWidth="1"/>
    <col min="5" max="5" width="8.42578125" bestFit="1" customWidth="1"/>
  </cols>
  <sheetData>
    <row r="3" spans="1:5" x14ac:dyDescent="0.25">
      <c r="A3" s="5" t="s">
        <v>3</v>
      </c>
      <c r="B3" t="s">
        <v>1058</v>
      </c>
      <c r="D3" s="5" t="s">
        <v>5</v>
      </c>
      <c r="E3" t="s">
        <v>1058</v>
      </c>
    </row>
    <row r="4" spans="1:5" x14ac:dyDescent="0.25">
      <c r="A4" s="5" t="s">
        <v>4</v>
      </c>
      <c r="B4" t="s">
        <v>1058</v>
      </c>
      <c r="D4" s="5" t="s">
        <v>6</v>
      </c>
      <c r="E4" t="s">
        <v>14</v>
      </c>
    </row>
    <row r="6" spans="1:5" x14ac:dyDescent="0.25">
      <c r="A6" s="14" t="s">
        <v>1037</v>
      </c>
      <c r="B6" s="34" t="s">
        <v>1040</v>
      </c>
    </row>
    <row r="7" spans="1:5" x14ac:dyDescent="0.25">
      <c r="A7" s="16" t="s">
        <v>1042</v>
      </c>
      <c r="B7" s="7">
        <v>29423</v>
      </c>
    </row>
    <row r="8" spans="1:5" x14ac:dyDescent="0.25">
      <c r="A8" s="16" t="s">
        <v>1043</v>
      </c>
      <c r="B8" s="7">
        <v>17678</v>
      </c>
    </row>
    <row r="9" spans="1:5" x14ac:dyDescent="0.25">
      <c r="A9" s="16" t="s">
        <v>1044</v>
      </c>
      <c r="B9" s="7">
        <v>27644</v>
      </c>
    </row>
    <row r="10" spans="1:5" x14ac:dyDescent="0.25">
      <c r="A10" s="16" t="s">
        <v>1045</v>
      </c>
      <c r="B10" s="7">
        <v>25835</v>
      </c>
    </row>
    <row r="11" spans="1:5" x14ac:dyDescent="0.25">
      <c r="A11" s="16" t="s">
        <v>1046</v>
      </c>
      <c r="B11" s="7">
        <v>28781</v>
      </c>
    </row>
    <row r="12" spans="1:5" x14ac:dyDescent="0.25">
      <c r="A12" s="16" t="s">
        <v>1047</v>
      </c>
      <c r="B12" s="7">
        <v>33905</v>
      </c>
    </row>
    <row r="13" spans="1:5" x14ac:dyDescent="0.25">
      <c r="A13" s="16" t="s">
        <v>1048</v>
      </c>
      <c r="B13" s="7">
        <v>25850</v>
      </c>
    </row>
    <row r="14" spans="1:5" x14ac:dyDescent="0.25">
      <c r="A14" s="16" t="s">
        <v>1049</v>
      </c>
      <c r="B14" s="7">
        <v>24167</v>
      </c>
    </row>
    <row r="15" spans="1:5" x14ac:dyDescent="0.25">
      <c r="A15" s="16" t="s">
        <v>1050</v>
      </c>
      <c r="B15" s="7">
        <v>32768</v>
      </c>
    </row>
    <row r="16" spans="1:5" x14ac:dyDescent="0.25">
      <c r="A16" s="16" t="s">
        <v>1051</v>
      </c>
      <c r="B16" s="7">
        <v>27952</v>
      </c>
    </row>
    <row r="17" spans="1:2" x14ac:dyDescent="0.25">
      <c r="A17" s="16" t="s">
        <v>1052</v>
      </c>
      <c r="B17" s="7">
        <v>23493</v>
      </c>
    </row>
    <row r="18" spans="1:2" x14ac:dyDescent="0.25">
      <c r="A18" s="16" t="s">
        <v>1053</v>
      </c>
      <c r="B18" s="7">
        <v>36751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8E652-EBCE-424F-8FE7-E9239AB56473}">
  <dimension ref="A1:Q7"/>
  <sheetViews>
    <sheetView workbookViewId="0">
      <selection activeCell="G16" sqref="G16"/>
    </sheetView>
  </sheetViews>
  <sheetFormatPr defaultRowHeight="15" x14ac:dyDescent="0.25"/>
  <cols>
    <col min="1" max="1" width="13.140625" bestFit="1" customWidth="1"/>
    <col min="2" max="2" width="12.140625" bestFit="1" customWidth="1"/>
    <col min="6" max="6" width="13.140625" bestFit="1" customWidth="1"/>
    <col min="7" max="7" width="12.140625" bestFit="1" customWidth="1"/>
    <col min="11" max="11" width="13.140625" bestFit="1" customWidth="1"/>
    <col min="12" max="12" width="12.140625" bestFit="1" customWidth="1"/>
    <col min="16" max="16" width="13.140625" bestFit="1" customWidth="1"/>
    <col min="17" max="17" width="12.140625" bestFit="1" customWidth="1"/>
  </cols>
  <sheetData>
    <row r="1" spans="1:17" x14ac:dyDescent="0.25">
      <c r="A1" s="5" t="s">
        <v>1037</v>
      </c>
      <c r="B1" t="s">
        <v>1039</v>
      </c>
      <c r="F1" s="5" t="s">
        <v>1037</v>
      </c>
      <c r="G1" t="s">
        <v>1039</v>
      </c>
      <c r="K1" s="5" t="s">
        <v>1037</v>
      </c>
      <c r="L1" t="s">
        <v>1039</v>
      </c>
      <c r="P1" s="5" t="s">
        <v>1037</v>
      </c>
      <c r="Q1" t="s">
        <v>1039</v>
      </c>
    </row>
    <row r="2" spans="1:17" x14ac:dyDescent="0.25">
      <c r="A2" s="6" t="s">
        <v>23</v>
      </c>
      <c r="B2" s="7">
        <v>208907</v>
      </c>
      <c r="F2" s="6" t="s">
        <v>23</v>
      </c>
      <c r="G2" s="7">
        <v>208907</v>
      </c>
      <c r="K2" s="6" t="s">
        <v>72</v>
      </c>
      <c r="L2" s="7">
        <v>240097</v>
      </c>
      <c r="P2" s="6" t="s">
        <v>23</v>
      </c>
      <c r="Q2" s="7">
        <v>208907</v>
      </c>
    </row>
    <row r="3" spans="1:17" x14ac:dyDescent="0.25">
      <c r="A3" s="6" t="s">
        <v>72</v>
      </c>
      <c r="B3" s="7">
        <v>240097</v>
      </c>
      <c r="F3" s="6" t="s">
        <v>72</v>
      </c>
      <c r="G3" s="7">
        <v>240097</v>
      </c>
      <c r="K3" s="6" t="s">
        <v>23</v>
      </c>
      <c r="L3" s="7">
        <v>208907</v>
      </c>
      <c r="P3" s="6" t="s">
        <v>1038</v>
      </c>
      <c r="Q3" s="7">
        <v>208907</v>
      </c>
    </row>
    <row r="4" spans="1:17" x14ac:dyDescent="0.25">
      <c r="A4" s="6" t="s">
        <v>11</v>
      </c>
      <c r="B4" s="7">
        <v>202425</v>
      </c>
      <c r="F4" s="6" t="s">
        <v>11</v>
      </c>
      <c r="G4" s="7">
        <v>202425</v>
      </c>
      <c r="K4" s="6" t="s">
        <v>11</v>
      </c>
      <c r="L4" s="7">
        <v>202425</v>
      </c>
    </row>
    <row r="5" spans="1:17" x14ac:dyDescent="0.25">
      <c r="A5" s="6" t="s">
        <v>1038</v>
      </c>
      <c r="B5" s="7">
        <v>651429</v>
      </c>
      <c r="F5" s="6" t="s">
        <v>1038</v>
      </c>
      <c r="G5" s="7">
        <v>651429</v>
      </c>
      <c r="K5" s="6" t="s">
        <v>38</v>
      </c>
      <c r="L5" s="7">
        <v>188191</v>
      </c>
    </row>
    <row r="6" spans="1:17" x14ac:dyDescent="0.25">
      <c r="K6" s="6" t="s">
        <v>33</v>
      </c>
      <c r="L6" s="7">
        <v>188059</v>
      </c>
    </row>
    <row r="7" spans="1:17" x14ac:dyDescent="0.25">
      <c r="K7" s="6" t="s">
        <v>1038</v>
      </c>
      <c r="L7" s="7">
        <v>1027679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69E96-9DB8-411B-AEED-77D9409B7FE3}">
  <dimension ref="A1:I12"/>
  <sheetViews>
    <sheetView zoomScale="170" zoomScaleNormal="170" workbookViewId="0">
      <selection activeCell="I22" sqref="I22"/>
    </sheetView>
  </sheetViews>
  <sheetFormatPr defaultRowHeight="15" x14ac:dyDescent="0.25"/>
  <cols>
    <col min="8" max="8" width="13.140625" bestFit="1" customWidth="1"/>
    <col min="9" max="9" width="15.5703125" bestFit="1" customWidth="1"/>
  </cols>
  <sheetData>
    <row r="1" spans="1:9" x14ac:dyDescent="0.25">
      <c r="A1" t="s">
        <v>1072</v>
      </c>
      <c r="B1" t="s">
        <v>1073</v>
      </c>
      <c r="C1" t="s">
        <v>1074</v>
      </c>
    </row>
    <row r="2" spans="1:9" x14ac:dyDescent="0.25">
      <c r="A2" t="s">
        <v>20</v>
      </c>
      <c r="B2" t="s">
        <v>1075</v>
      </c>
      <c r="C2">
        <v>2838</v>
      </c>
    </row>
    <row r="3" spans="1:9" x14ac:dyDescent="0.25">
      <c r="A3" t="s">
        <v>1076</v>
      </c>
      <c r="B3" t="s">
        <v>1077</v>
      </c>
      <c r="C3">
        <v>3035</v>
      </c>
    </row>
    <row r="4" spans="1:9" x14ac:dyDescent="0.25">
      <c r="A4" t="s">
        <v>20</v>
      </c>
      <c r="B4" t="s">
        <v>1077</v>
      </c>
      <c r="C4">
        <v>3048</v>
      </c>
    </row>
    <row r="5" spans="1:9" x14ac:dyDescent="0.25">
      <c r="A5" t="s">
        <v>1076</v>
      </c>
      <c r="B5" t="s">
        <v>1075</v>
      </c>
      <c r="C5">
        <v>2750</v>
      </c>
    </row>
    <row r="6" spans="1:9" x14ac:dyDescent="0.25">
      <c r="A6" t="s">
        <v>14</v>
      </c>
      <c r="B6" t="s">
        <v>1077</v>
      </c>
      <c r="C6">
        <v>3305</v>
      </c>
    </row>
    <row r="7" spans="1:9" x14ac:dyDescent="0.25">
      <c r="A7" t="s">
        <v>1057</v>
      </c>
      <c r="B7" t="s">
        <v>1075</v>
      </c>
      <c r="C7">
        <v>3116</v>
      </c>
    </row>
    <row r="8" spans="1:9" x14ac:dyDescent="0.25">
      <c r="A8" t="s">
        <v>20</v>
      </c>
      <c r="B8" t="s">
        <v>1077</v>
      </c>
      <c r="C8">
        <v>3048</v>
      </c>
      <c r="H8" s="5" t="s">
        <v>1037</v>
      </c>
      <c r="I8" t="s">
        <v>1078</v>
      </c>
    </row>
    <row r="9" spans="1:9" x14ac:dyDescent="0.25">
      <c r="A9" t="s">
        <v>1076</v>
      </c>
      <c r="B9" t="s">
        <v>1075</v>
      </c>
      <c r="C9">
        <v>2750</v>
      </c>
      <c r="H9" s="6" t="s">
        <v>1075</v>
      </c>
      <c r="I9" s="7">
        <v>19570</v>
      </c>
    </row>
    <row r="10" spans="1:9" x14ac:dyDescent="0.25">
      <c r="A10" t="s">
        <v>14</v>
      </c>
      <c r="B10" t="s">
        <v>1077</v>
      </c>
      <c r="C10">
        <v>3305</v>
      </c>
      <c r="H10" s="6" t="s">
        <v>1077</v>
      </c>
      <c r="I10" s="7">
        <v>15741</v>
      </c>
    </row>
    <row r="11" spans="1:9" x14ac:dyDescent="0.25">
      <c r="A11" t="s">
        <v>1057</v>
      </c>
      <c r="B11" t="s">
        <v>1075</v>
      </c>
      <c r="C11">
        <v>3116</v>
      </c>
      <c r="H11" s="6" t="s">
        <v>1038</v>
      </c>
      <c r="I11" s="7">
        <v>35311</v>
      </c>
    </row>
    <row r="12" spans="1:9" x14ac:dyDescent="0.25">
      <c r="A12" t="s">
        <v>1057</v>
      </c>
      <c r="B12" t="s">
        <v>1075</v>
      </c>
      <c r="C12">
        <v>5000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54EF4-A2E3-4D78-B98D-FC241786F562}">
  <dimension ref="A1:U51"/>
  <sheetViews>
    <sheetView tabSelected="1" workbookViewId="0">
      <selection activeCell="L29" sqref="L29"/>
    </sheetView>
  </sheetViews>
  <sheetFormatPr defaultRowHeight="15" x14ac:dyDescent="0.25"/>
  <cols>
    <col min="14" max="14" width="13.140625" bestFit="1" customWidth="1"/>
    <col min="15" max="15" width="16.28515625" bestFit="1" customWidth="1"/>
    <col min="16" max="19" width="8" bestFit="1" customWidth="1"/>
    <col min="20" max="20" width="9.7109375" bestFit="1" customWidth="1"/>
    <col min="21" max="21" width="11.28515625" bestFit="1" customWidth="1"/>
  </cols>
  <sheetData>
    <row r="1" spans="1:21" x14ac:dyDescent="0.25">
      <c r="A1" t="s">
        <v>1079</v>
      </c>
      <c r="B1" t="s">
        <v>1080</v>
      </c>
      <c r="C1" t="s">
        <v>1081</v>
      </c>
      <c r="D1" t="s">
        <v>6</v>
      </c>
      <c r="E1" t="s">
        <v>1082</v>
      </c>
      <c r="F1" t="s">
        <v>1083</v>
      </c>
      <c r="G1" t="s">
        <v>1084</v>
      </c>
      <c r="H1" t="s">
        <v>1085</v>
      </c>
      <c r="N1" s="5" t="s">
        <v>1108</v>
      </c>
      <c r="O1" s="5" t="s">
        <v>1107</v>
      </c>
    </row>
    <row r="2" spans="1:21" x14ac:dyDescent="0.25">
      <c r="A2">
        <v>1001</v>
      </c>
      <c r="B2" t="s">
        <v>1086</v>
      </c>
      <c r="C2" t="s">
        <v>1042</v>
      </c>
      <c r="D2" t="s">
        <v>14</v>
      </c>
      <c r="E2" t="s">
        <v>1087</v>
      </c>
      <c r="F2" t="s">
        <v>1088</v>
      </c>
      <c r="G2">
        <v>50</v>
      </c>
      <c r="H2">
        <v>32500</v>
      </c>
      <c r="J2" t="str" cm="1">
        <f t="array" ref="J2:J9">_xlfn.UNIQUE(B:B)</f>
        <v>BRAND</v>
      </c>
      <c r="N2" s="5" t="s">
        <v>1037</v>
      </c>
      <c r="O2" t="s">
        <v>1103</v>
      </c>
      <c r="P2" t="s">
        <v>1111</v>
      </c>
      <c r="Q2" t="s">
        <v>1086</v>
      </c>
      <c r="R2" t="s">
        <v>1102</v>
      </c>
      <c r="S2" t="s">
        <v>1110</v>
      </c>
      <c r="T2" t="s">
        <v>1112</v>
      </c>
      <c r="U2" t="s">
        <v>1038</v>
      </c>
    </row>
    <row r="3" spans="1:21" x14ac:dyDescent="0.25">
      <c r="A3">
        <v>1002</v>
      </c>
      <c r="B3" t="s">
        <v>1102</v>
      </c>
      <c r="C3" t="s">
        <v>1043</v>
      </c>
      <c r="D3" t="s">
        <v>20</v>
      </c>
      <c r="E3" t="s">
        <v>1089</v>
      </c>
      <c r="F3" t="s">
        <v>1090</v>
      </c>
      <c r="G3">
        <v>67</v>
      </c>
      <c r="H3">
        <v>45895</v>
      </c>
      <c r="J3" t="str">
        <v>NIKE</v>
      </c>
      <c r="N3" s="6" t="s">
        <v>1042</v>
      </c>
      <c r="O3" s="7"/>
      <c r="P3" s="7"/>
      <c r="Q3" s="7">
        <v>518910</v>
      </c>
      <c r="R3" s="7"/>
      <c r="S3" s="7"/>
      <c r="T3" s="7"/>
      <c r="U3" s="7">
        <v>518910</v>
      </c>
    </row>
    <row r="4" spans="1:21" x14ac:dyDescent="0.25">
      <c r="A4">
        <v>1003</v>
      </c>
      <c r="B4" t="s">
        <v>1103</v>
      </c>
      <c r="C4" t="s">
        <v>1044</v>
      </c>
      <c r="D4" t="s">
        <v>1076</v>
      </c>
      <c r="E4" t="s">
        <v>1091</v>
      </c>
      <c r="F4" t="s">
        <v>1109</v>
      </c>
      <c r="G4">
        <v>84</v>
      </c>
      <c r="H4">
        <v>60480</v>
      </c>
      <c r="J4" t="str">
        <v>PUMA</v>
      </c>
      <c r="N4" s="6" t="s">
        <v>1043</v>
      </c>
      <c r="O4" s="7"/>
      <c r="P4" s="7"/>
      <c r="Q4" s="7"/>
      <c r="R4" s="7">
        <v>590225</v>
      </c>
      <c r="S4" s="7"/>
      <c r="T4" s="7"/>
      <c r="U4" s="7">
        <v>590225</v>
      </c>
    </row>
    <row r="5" spans="1:21" x14ac:dyDescent="0.25">
      <c r="A5">
        <v>1004</v>
      </c>
      <c r="B5" t="s">
        <v>1110</v>
      </c>
      <c r="C5" t="s">
        <v>1045</v>
      </c>
      <c r="D5" t="s">
        <v>1057</v>
      </c>
      <c r="E5" t="s">
        <v>1092</v>
      </c>
      <c r="F5" t="s">
        <v>1093</v>
      </c>
      <c r="G5">
        <v>101</v>
      </c>
      <c r="H5">
        <v>76255</v>
      </c>
      <c r="J5" t="str">
        <v>ADIDAS</v>
      </c>
      <c r="N5" s="6" t="s">
        <v>1044</v>
      </c>
      <c r="O5" s="7">
        <v>545480</v>
      </c>
      <c r="P5" s="7"/>
      <c r="Q5" s="7"/>
      <c r="R5" s="7"/>
      <c r="S5" s="7"/>
      <c r="T5" s="7"/>
      <c r="U5" s="7">
        <v>545480</v>
      </c>
    </row>
    <row r="6" spans="1:21" x14ac:dyDescent="0.25">
      <c r="A6">
        <v>1005</v>
      </c>
      <c r="B6" t="s">
        <v>1111</v>
      </c>
      <c r="C6" t="s">
        <v>1046</v>
      </c>
      <c r="D6" t="s">
        <v>26</v>
      </c>
      <c r="E6" t="s">
        <v>1094</v>
      </c>
      <c r="F6" t="s">
        <v>1095</v>
      </c>
      <c r="G6">
        <v>118</v>
      </c>
      <c r="H6">
        <v>93220</v>
      </c>
      <c r="J6" t="str">
        <v>REEBOK</v>
      </c>
      <c r="N6" s="6" t="s">
        <v>1045</v>
      </c>
      <c r="O6" s="7"/>
      <c r="P6" s="7"/>
      <c r="Q6" s="7"/>
      <c r="R6" s="7"/>
      <c r="S6" s="7">
        <v>624540</v>
      </c>
      <c r="T6" s="7"/>
      <c r="U6" s="7">
        <v>624540</v>
      </c>
    </row>
    <row r="7" spans="1:21" x14ac:dyDescent="0.25">
      <c r="A7">
        <v>1006</v>
      </c>
      <c r="B7" t="s">
        <v>1112</v>
      </c>
      <c r="C7" t="s">
        <v>1047</v>
      </c>
      <c r="D7" t="s">
        <v>14</v>
      </c>
      <c r="E7" t="s">
        <v>1096</v>
      </c>
      <c r="F7" t="s">
        <v>1097</v>
      </c>
      <c r="G7">
        <v>135</v>
      </c>
      <c r="H7">
        <v>111375</v>
      </c>
      <c r="J7" t="str">
        <v>ASICS</v>
      </c>
      <c r="N7" s="6" t="s">
        <v>1046</v>
      </c>
      <c r="O7" s="7"/>
      <c r="P7" s="7">
        <v>677735</v>
      </c>
      <c r="Q7" s="7"/>
      <c r="R7" s="7"/>
      <c r="S7" s="7"/>
      <c r="T7" s="7"/>
      <c r="U7" s="7">
        <v>677735</v>
      </c>
    </row>
    <row r="8" spans="1:21" x14ac:dyDescent="0.25">
      <c r="A8">
        <v>1007</v>
      </c>
      <c r="B8" t="s">
        <v>1086</v>
      </c>
      <c r="C8" t="s">
        <v>1048</v>
      </c>
      <c r="D8" t="s">
        <v>20</v>
      </c>
      <c r="E8" t="s">
        <v>1098</v>
      </c>
      <c r="F8" t="s">
        <v>1099</v>
      </c>
      <c r="G8">
        <v>152</v>
      </c>
      <c r="H8">
        <v>130720</v>
      </c>
      <c r="J8" t="str">
        <v>SKECHERS</v>
      </c>
      <c r="N8" s="6" t="s">
        <v>1047</v>
      </c>
      <c r="O8" s="7"/>
      <c r="P8" s="7"/>
      <c r="Q8" s="7"/>
      <c r="R8" s="7"/>
      <c r="S8" s="7"/>
      <c r="T8" s="7">
        <v>762150</v>
      </c>
      <c r="U8" s="7">
        <v>762150</v>
      </c>
    </row>
    <row r="9" spans="1:21" x14ac:dyDescent="0.25">
      <c r="A9">
        <v>1008</v>
      </c>
      <c r="B9" t="s">
        <v>1102</v>
      </c>
      <c r="C9" t="s">
        <v>1049</v>
      </c>
      <c r="D9" t="s">
        <v>1076</v>
      </c>
      <c r="E9" t="s">
        <v>1100</v>
      </c>
      <c r="F9" t="s">
        <v>1101</v>
      </c>
      <c r="G9">
        <v>169</v>
      </c>
      <c r="H9">
        <v>109850</v>
      </c>
      <c r="J9">
        <v>0</v>
      </c>
      <c r="N9" s="6" t="s">
        <v>1048</v>
      </c>
      <c r="O9" s="7"/>
      <c r="P9" s="7"/>
      <c r="Q9" s="7">
        <v>762390</v>
      </c>
      <c r="R9" s="7"/>
      <c r="S9" s="7"/>
      <c r="T9" s="7"/>
      <c r="U9" s="7">
        <v>762390</v>
      </c>
    </row>
    <row r="10" spans="1:21" x14ac:dyDescent="0.25">
      <c r="A10">
        <v>1009</v>
      </c>
      <c r="B10" t="s">
        <v>1103</v>
      </c>
      <c r="C10" t="s">
        <v>1050</v>
      </c>
      <c r="D10" t="s">
        <v>1057</v>
      </c>
      <c r="E10" t="s">
        <v>1106</v>
      </c>
      <c r="F10" t="s">
        <v>1113</v>
      </c>
      <c r="G10">
        <v>186</v>
      </c>
      <c r="H10">
        <v>127410</v>
      </c>
      <c r="J10" t="str" cm="1">
        <f t="array" ref="J10:J23">_xlfn.UNIQUE(C:C)</f>
        <v>MONTH</v>
      </c>
      <c r="N10" s="6" t="s">
        <v>1049</v>
      </c>
      <c r="O10" s="7"/>
      <c r="P10" s="7"/>
      <c r="Q10" s="7"/>
      <c r="R10" s="7">
        <v>810755</v>
      </c>
      <c r="S10" s="7"/>
      <c r="T10" s="7"/>
      <c r="U10" s="7">
        <v>810755</v>
      </c>
    </row>
    <row r="11" spans="1:21" x14ac:dyDescent="0.25">
      <c r="A11">
        <v>1010</v>
      </c>
      <c r="B11" t="s">
        <v>1110</v>
      </c>
      <c r="C11" t="s">
        <v>1051</v>
      </c>
      <c r="D11" t="s">
        <v>26</v>
      </c>
      <c r="E11" t="s">
        <v>1104</v>
      </c>
      <c r="F11" t="s">
        <v>1105</v>
      </c>
      <c r="G11">
        <v>203</v>
      </c>
      <c r="H11">
        <v>146160</v>
      </c>
      <c r="J11" t="str">
        <v>Jan</v>
      </c>
      <c r="N11" s="6" t="s">
        <v>1050</v>
      </c>
      <c r="O11" s="7">
        <v>901120</v>
      </c>
      <c r="P11" s="7"/>
      <c r="Q11" s="7"/>
      <c r="R11" s="7"/>
      <c r="S11" s="7"/>
      <c r="T11" s="7"/>
      <c r="U11" s="7">
        <v>901120</v>
      </c>
    </row>
    <row r="12" spans="1:21" x14ac:dyDescent="0.25">
      <c r="A12">
        <v>1011</v>
      </c>
      <c r="B12" t="s">
        <v>1111</v>
      </c>
      <c r="C12" t="s">
        <v>1052</v>
      </c>
      <c r="D12" t="s">
        <v>14</v>
      </c>
      <c r="E12" t="s">
        <v>1087</v>
      </c>
      <c r="F12" t="s">
        <v>1088</v>
      </c>
      <c r="G12">
        <v>220</v>
      </c>
      <c r="H12">
        <v>166100</v>
      </c>
      <c r="J12" t="str">
        <v>Feb</v>
      </c>
      <c r="N12" s="6" t="s">
        <v>1051</v>
      </c>
      <c r="O12" s="7"/>
      <c r="P12" s="7"/>
      <c r="Q12" s="7"/>
      <c r="R12" s="7"/>
      <c r="S12" s="7">
        <v>896530</v>
      </c>
      <c r="T12" s="7"/>
      <c r="U12" s="7">
        <v>896530</v>
      </c>
    </row>
    <row r="13" spans="1:21" x14ac:dyDescent="0.25">
      <c r="A13">
        <v>1012</v>
      </c>
      <c r="B13" t="s">
        <v>1112</v>
      </c>
      <c r="C13" t="s">
        <v>1053</v>
      </c>
      <c r="D13" t="s">
        <v>20</v>
      </c>
      <c r="E13" t="s">
        <v>1089</v>
      </c>
      <c r="F13" t="s">
        <v>1090</v>
      </c>
      <c r="G13">
        <v>237</v>
      </c>
      <c r="H13">
        <v>187230</v>
      </c>
      <c r="J13" t="str">
        <v>Mar</v>
      </c>
      <c r="N13" s="6" t="s">
        <v>1052</v>
      </c>
      <c r="O13" s="7"/>
      <c r="P13" s="7">
        <v>992250</v>
      </c>
      <c r="Q13" s="7"/>
      <c r="R13" s="7"/>
      <c r="S13" s="7"/>
      <c r="T13" s="7"/>
      <c r="U13" s="7">
        <v>992250</v>
      </c>
    </row>
    <row r="14" spans="1:21" x14ac:dyDescent="0.25">
      <c r="A14">
        <v>1013</v>
      </c>
      <c r="B14" t="s">
        <v>1086</v>
      </c>
      <c r="C14" t="s">
        <v>1042</v>
      </c>
      <c r="D14" t="s">
        <v>1076</v>
      </c>
      <c r="E14" t="s">
        <v>1091</v>
      </c>
      <c r="F14" t="s">
        <v>1109</v>
      </c>
      <c r="G14">
        <v>254</v>
      </c>
      <c r="H14">
        <v>209550</v>
      </c>
      <c r="J14" t="str">
        <v>Apr</v>
      </c>
      <c r="N14" s="6" t="s">
        <v>1053</v>
      </c>
      <c r="O14" s="7"/>
      <c r="P14" s="7"/>
      <c r="Q14" s="7"/>
      <c r="R14" s="7"/>
      <c r="S14" s="7"/>
      <c r="T14" s="7">
        <v>1032950</v>
      </c>
      <c r="U14" s="7">
        <v>1032950</v>
      </c>
    </row>
    <row r="15" spans="1:21" x14ac:dyDescent="0.25">
      <c r="A15">
        <v>1014</v>
      </c>
      <c r="B15" t="s">
        <v>1102</v>
      </c>
      <c r="C15" t="s">
        <v>1043</v>
      </c>
      <c r="D15" t="s">
        <v>1057</v>
      </c>
      <c r="E15" t="s">
        <v>1092</v>
      </c>
      <c r="F15" t="s">
        <v>1093</v>
      </c>
      <c r="G15">
        <v>271</v>
      </c>
      <c r="H15">
        <v>233060</v>
      </c>
      <c r="J15" t="str">
        <v>May</v>
      </c>
      <c r="N15" s="6" t="s">
        <v>1038</v>
      </c>
      <c r="O15" s="7">
        <v>1446600</v>
      </c>
      <c r="P15" s="7">
        <v>1669985</v>
      </c>
      <c r="Q15" s="7">
        <v>1281300</v>
      </c>
      <c r="R15" s="7">
        <v>1400980</v>
      </c>
      <c r="S15" s="7">
        <v>1521070</v>
      </c>
      <c r="T15" s="7">
        <v>1795100</v>
      </c>
      <c r="U15" s="7">
        <v>9115035</v>
      </c>
    </row>
    <row r="16" spans="1:21" x14ac:dyDescent="0.25">
      <c r="A16">
        <v>1015</v>
      </c>
      <c r="B16" t="s">
        <v>1103</v>
      </c>
      <c r="C16" t="s">
        <v>1044</v>
      </c>
      <c r="D16" t="s">
        <v>26</v>
      </c>
      <c r="E16" t="s">
        <v>1094</v>
      </c>
      <c r="F16" t="s">
        <v>1095</v>
      </c>
      <c r="G16">
        <v>288</v>
      </c>
      <c r="H16">
        <v>187200</v>
      </c>
      <c r="J16" t="str">
        <v>Jun</v>
      </c>
    </row>
    <row r="17" spans="1:15" x14ac:dyDescent="0.25">
      <c r="A17">
        <v>1016</v>
      </c>
      <c r="B17" t="s">
        <v>1110</v>
      </c>
      <c r="C17" t="s">
        <v>1045</v>
      </c>
      <c r="D17" t="s">
        <v>14</v>
      </c>
      <c r="E17" t="s">
        <v>1096</v>
      </c>
      <c r="F17" t="s">
        <v>1097</v>
      </c>
      <c r="G17">
        <v>305</v>
      </c>
      <c r="H17">
        <v>208925</v>
      </c>
      <c r="J17" t="str">
        <v>Jul</v>
      </c>
    </row>
    <row r="18" spans="1:15" x14ac:dyDescent="0.25">
      <c r="A18">
        <v>1017</v>
      </c>
      <c r="B18" t="s">
        <v>1111</v>
      </c>
      <c r="C18" t="s">
        <v>1046</v>
      </c>
      <c r="D18" t="s">
        <v>20</v>
      </c>
      <c r="E18" t="s">
        <v>1098</v>
      </c>
      <c r="F18" t="s">
        <v>1099</v>
      </c>
      <c r="G18">
        <v>322</v>
      </c>
      <c r="H18">
        <v>231840</v>
      </c>
      <c r="J18" t="str">
        <v>Aug</v>
      </c>
    </row>
    <row r="19" spans="1:15" x14ac:dyDescent="0.25">
      <c r="A19">
        <v>1018</v>
      </c>
      <c r="B19" t="s">
        <v>1112</v>
      </c>
      <c r="C19" t="s">
        <v>1047</v>
      </c>
      <c r="D19" t="s">
        <v>1076</v>
      </c>
      <c r="E19" t="s">
        <v>1100</v>
      </c>
      <c r="F19" t="s">
        <v>1101</v>
      </c>
      <c r="G19">
        <v>339</v>
      </c>
      <c r="H19">
        <v>255945</v>
      </c>
      <c r="J19" t="str">
        <v>Sep</v>
      </c>
    </row>
    <row r="20" spans="1:15" x14ac:dyDescent="0.25">
      <c r="A20">
        <v>1019</v>
      </c>
      <c r="B20" t="s">
        <v>1086</v>
      </c>
      <c r="C20" t="s">
        <v>1048</v>
      </c>
      <c r="D20" t="s">
        <v>1057</v>
      </c>
      <c r="E20" t="s">
        <v>1106</v>
      </c>
      <c r="F20" t="s">
        <v>1113</v>
      </c>
      <c r="G20">
        <v>356</v>
      </c>
      <c r="H20">
        <v>281240</v>
      </c>
      <c r="J20" t="str">
        <v>Oct</v>
      </c>
    </row>
    <row r="21" spans="1:15" x14ac:dyDescent="0.25">
      <c r="A21">
        <v>1020</v>
      </c>
      <c r="B21" t="s">
        <v>1102</v>
      </c>
      <c r="C21" t="s">
        <v>1049</v>
      </c>
      <c r="D21" t="s">
        <v>26</v>
      </c>
      <c r="E21" t="s">
        <v>1104</v>
      </c>
      <c r="F21" t="s">
        <v>1105</v>
      </c>
      <c r="G21">
        <v>373</v>
      </c>
      <c r="H21">
        <v>307725</v>
      </c>
      <c r="J21" t="str">
        <v>Nov</v>
      </c>
    </row>
    <row r="22" spans="1:15" x14ac:dyDescent="0.25">
      <c r="A22">
        <v>1021</v>
      </c>
      <c r="B22" t="s">
        <v>1103</v>
      </c>
      <c r="C22" t="s">
        <v>1050</v>
      </c>
      <c r="D22" t="s">
        <v>14</v>
      </c>
      <c r="E22" t="s">
        <v>1087</v>
      </c>
      <c r="F22" t="s">
        <v>1088</v>
      </c>
      <c r="G22">
        <v>390</v>
      </c>
      <c r="H22">
        <v>335400</v>
      </c>
      <c r="J22" t="str">
        <v>Dec</v>
      </c>
    </row>
    <row r="23" spans="1:15" x14ac:dyDescent="0.25">
      <c r="A23">
        <v>1022</v>
      </c>
      <c r="B23" t="s">
        <v>1110</v>
      </c>
      <c r="C23" t="s">
        <v>1051</v>
      </c>
      <c r="D23" t="s">
        <v>20</v>
      </c>
      <c r="E23" t="s">
        <v>1089</v>
      </c>
      <c r="F23" t="s">
        <v>1090</v>
      </c>
      <c r="G23">
        <v>407</v>
      </c>
      <c r="H23">
        <v>264550</v>
      </c>
      <c r="J23">
        <v>0</v>
      </c>
      <c r="N23" s="39" t="s">
        <v>1114</v>
      </c>
      <c r="O23" s="40" t="s">
        <v>1110</v>
      </c>
    </row>
    <row r="24" spans="1:15" x14ac:dyDescent="0.25">
      <c r="A24">
        <v>1023</v>
      </c>
      <c r="B24" t="s">
        <v>1111</v>
      </c>
      <c r="C24" t="s">
        <v>1052</v>
      </c>
      <c r="D24" t="s">
        <v>1076</v>
      </c>
      <c r="E24" t="s">
        <v>1091</v>
      </c>
      <c r="F24" t="s">
        <v>1109</v>
      </c>
      <c r="G24">
        <v>424</v>
      </c>
      <c r="H24">
        <v>290440</v>
      </c>
      <c r="N24" s="40" t="s">
        <v>1045</v>
      </c>
      <c r="O24">
        <f>GETPIVOTDATA("AMT",$N$1,"BRAND",O23,"MONTH",N24)</f>
        <v>624540</v>
      </c>
    </row>
    <row r="25" spans="1:15" x14ac:dyDescent="0.25">
      <c r="A25">
        <v>1024</v>
      </c>
      <c r="B25" t="s">
        <v>1112</v>
      </c>
      <c r="C25" t="s">
        <v>1053</v>
      </c>
      <c r="D25" t="s">
        <v>1057</v>
      </c>
      <c r="E25" t="s">
        <v>1092</v>
      </c>
      <c r="F25" t="s">
        <v>1093</v>
      </c>
      <c r="G25">
        <v>441</v>
      </c>
      <c r="H25">
        <v>317520</v>
      </c>
    </row>
    <row r="26" spans="1:15" x14ac:dyDescent="0.25">
      <c r="A26">
        <v>1025</v>
      </c>
      <c r="B26" t="s">
        <v>1086</v>
      </c>
      <c r="C26" t="s">
        <v>1042</v>
      </c>
      <c r="D26" t="s">
        <v>26</v>
      </c>
      <c r="E26" t="s">
        <v>1094</v>
      </c>
      <c r="F26" t="s">
        <v>1095</v>
      </c>
      <c r="G26">
        <v>57</v>
      </c>
      <c r="H26">
        <v>43035</v>
      </c>
    </row>
    <row r="27" spans="1:15" x14ac:dyDescent="0.25">
      <c r="A27">
        <v>1026</v>
      </c>
      <c r="B27" t="s">
        <v>1102</v>
      </c>
      <c r="C27" t="s">
        <v>1043</v>
      </c>
      <c r="D27" t="s">
        <v>14</v>
      </c>
      <c r="E27" t="s">
        <v>1096</v>
      </c>
      <c r="F27" t="s">
        <v>1097</v>
      </c>
      <c r="G27">
        <v>74</v>
      </c>
      <c r="H27">
        <v>58460</v>
      </c>
    </row>
    <row r="28" spans="1:15" x14ac:dyDescent="0.25">
      <c r="A28">
        <v>1027</v>
      </c>
      <c r="B28" t="s">
        <v>1103</v>
      </c>
      <c r="C28" t="s">
        <v>1044</v>
      </c>
      <c r="D28" t="s">
        <v>20</v>
      </c>
      <c r="E28" t="s">
        <v>1098</v>
      </c>
      <c r="F28" t="s">
        <v>1099</v>
      </c>
      <c r="G28">
        <v>91</v>
      </c>
      <c r="H28">
        <v>75075</v>
      </c>
    </row>
    <row r="29" spans="1:15" x14ac:dyDescent="0.25">
      <c r="A29">
        <v>1028</v>
      </c>
      <c r="B29" t="s">
        <v>1110</v>
      </c>
      <c r="C29" t="s">
        <v>1045</v>
      </c>
      <c r="D29" t="s">
        <v>1076</v>
      </c>
      <c r="E29" t="s">
        <v>1100</v>
      </c>
      <c r="F29" t="s">
        <v>1101</v>
      </c>
      <c r="G29">
        <v>108</v>
      </c>
      <c r="H29">
        <v>92880</v>
      </c>
    </row>
    <row r="30" spans="1:15" x14ac:dyDescent="0.25">
      <c r="A30">
        <v>1029</v>
      </c>
      <c r="B30" t="s">
        <v>1111</v>
      </c>
      <c r="C30" t="s">
        <v>1046</v>
      </c>
      <c r="D30" t="s">
        <v>1057</v>
      </c>
      <c r="E30" t="s">
        <v>1106</v>
      </c>
      <c r="F30" t="s">
        <v>1113</v>
      </c>
      <c r="G30">
        <v>125</v>
      </c>
      <c r="H30">
        <v>81250</v>
      </c>
    </row>
    <row r="31" spans="1:15" x14ac:dyDescent="0.25">
      <c r="A31">
        <v>1030</v>
      </c>
      <c r="B31" t="s">
        <v>1112</v>
      </c>
      <c r="C31" t="s">
        <v>1047</v>
      </c>
      <c r="D31" t="s">
        <v>26</v>
      </c>
      <c r="E31" t="s">
        <v>1104</v>
      </c>
      <c r="F31" t="s">
        <v>1105</v>
      </c>
      <c r="G31">
        <v>142</v>
      </c>
      <c r="H31">
        <v>97270</v>
      </c>
    </row>
    <row r="32" spans="1:15" x14ac:dyDescent="0.25">
      <c r="A32">
        <v>1031</v>
      </c>
      <c r="B32" t="s">
        <v>1086</v>
      </c>
      <c r="C32" t="s">
        <v>1048</v>
      </c>
      <c r="D32" t="s">
        <v>14</v>
      </c>
      <c r="E32" t="s">
        <v>1087</v>
      </c>
      <c r="F32" t="s">
        <v>1088</v>
      </c>
      <c r="G32">
        <v>159</v>
      </c>
      <c r="H32">
        <v>114480</v>
      </c>
    </row>
    <row r="33" spans="1:8" x14ac:dyDescent="0.25">
      <c r="A33">
        <v>1032</v>
      </c>
      <c r="B33" t="s">
        <v>1102</v>
      </c>
      <c r="C33" t="s">
        <v>1049</v>
      </c>
      <c r="D33" t="s">
        <v>20</v>
      </c>
      <c r="E33" t="s">
        <v>1089</v>
      </c>
      <c r="F33" t="s">
        <v>1090</v>
      </c>
      <c r="G33">
        <v>176</v>
      </c>
      <c r="H33">
        <v>132880</v>
      </c>
    </row>
    <row r="34" spans="1:8" x14ac:dyDescent="0.25">
      <c r="A34">
        <v>1033</v>
      </c>
      <c r="B34" t="s">
        <v>1103</v>
      </c>
      <c r="C34" t="s">
        <v>1050</v>
      </c>
      <c r="D34" t="s">
        <v>1076</v>
      </c>
      <c r="E34" t="s">
        <v>1091</v>
      </c>
      <c r="F34" t="s">
        <v>1109</v>
      </c>
      <c r="G34">
        <v>193</v>
      </c>
      <c r="H34">
        <v>152470</v>
      </c>
    </row>
    <row r="35" spans="1:8" x14ac:dyDescent="0.25">
      <c r="A35">
        <v>1034</v>
      </c>
      <c r="B35" t="s">
        <v>1110</v>
      </c>
      <c r="C35" t="s">
        <v>1051</v>
      </c>
      <c r="D35" t="s">
        <v>1057</v>
      </c>
      <c r="E35" t="s">
        <v>1092</v>
      </c>
      <c r="F35" t="s">
        <v>1093</v>
      </c>
      <c r="G35">
        <v>210</v>
      </c>
      <c r="H35">
        <v>173250</v>
      </c>
    </row>
    <row r="36" spans="1:8" x14ac:dyDescent="0.25">
      <c r="A36">
        <v>1035</v>
      </c>
      <c r="B36" t="s">
        <v>1111</v>
      </c>
      <c r="C36" t="s">
        <v>1052</v>
      </c>
      <c r="D36" t="s">
        <v>26</v>
      </c>
      <c r="E36" t="s">
        <v>1094</v>
      </c>
      <c r="F36" t="s">
        <v>1095</v>
      </c>
      <c r="G36">
        <v>227</v>
      </c>
      <c r="H36">
        <v>195220</v>
      </c>
    </row>
    <row r="37" spans="1:8" x14ac:dyDescent="0.25">
      <c r="A37">
        <v>1036</v>
      </c>
      <c r="B37" t="s">
        <v>1112</v>
      </c>
      <c r="C37" t="s">
        <v>1053</v>
      </c>
      <c r="D37" t="s">
        <v>14</v>
      </c>
      <c r="E37" t="s">
        <v>1096</v>
      </c>
      <c r="F37" t="s">
        <v>1097</v>
      </c>
      <c r="G37">
        <v>244</v>
      </c>
      <c r="H37">
        <v>158600</v>
      </c>
    </row>
    <row r="38" spans="1:8" x14ac:dyDescent="0.25">
      <c r="A38">
        <v>1037</v>
      </c>
      <c r="B38" t="s">
        <v>1086</v>
      </c>
      <c r="C38" t="s">
        <v>1042</v>
      </c>
      <c r="D38" t="s">
        <v>20</v>
      </c>
      <c r="E38" t="s">
        <v>1098</v>
      </c>
      <c r="F38" t="s">
        <v>1099</v>
      </c>
      <c r="G38">
        <v>261</v>
      </c>
      <c r="H38">
        <v>178785</v>
      </c>
    </row>
    <row r="39" spans="1:8" x14ac:dyDescent="0.25">
      <c r="A39">
        <v>1038</v>
      </c>
      <c r="B39" t="s">
        <v>1102</v>
      </c>
      <c r="C39" t="s">
        <v>1043</v>
      </c>
      <c r="D39" t="s">
        <v>1076</v>
      </c>
      <c r="E39" t="s">
        <v>1100</v>
      </c>
      <c r="F39" t="s">
        <v>1101</v>
      </c>
      <c r="G39">
        <v>278</v>
      </c>
      <c r="H39">
        <v>200160</v>
      </c>
    </row>
    <row r="40" spans="1:8" x14ac:dyDescent="0.25">
      <c r="A40">
        <v>1039</v>
      </c>
      <c r="B40" t="s">
        <v>1103</v>
      </c>
      <c r="C40" t="s">
        <v>1044</v>
      </c>
      <c r="D40" t="s">
        <v>1057</v>
      </c>
      <c r="E40" t="s">
        <v>1106</v>
      </c>
      <c r="F40" t="s">
        <v>1113</v>
      </c>
      <c r="G40">
        <v>295</v>
      </c>
      <c r="H40">
        <v>222725</v>
      </c>
    </row>
    <row r="41" spans="1:8" x14ac:dyDescent="0.25">
      <c r="A41">
        <v>1040</v>
      </c>
      <c r="B41" t="s">
        <v>1110</v>
      </c>
      <c r="C41" t="s">
        <v>1045</v>
      </c>
      <c r="D41" t="s">
        <v>26</v>
      </c>
      <c r="E41" t="s">
        <v>1104</v>
      </c>
      <c r="F41" t="s">
        <v>1105</v>
      </c>
      <c r="G41">
        <v>312</v>
      </c>
      <c r="H41">
        <v>246480</v>
      </c>
    </row>
    <row r="42" spans="1:8" x14ac:dyDescent="0.25">
      <c r="A42">
        <v>1041</v>
      </c>
      <c r="B42" t="s">
        <v>1111</v>
      </c>
      <c r="C42" t="s">
        <v>1046</v>
      </c>
      <c r="D42" t="s">
        <v>14</v>
      </c>
      <c r="E42" t="s">
        <v>1087</v>
      </c>
      <c r="F42" t="s">
        <v>1088</v>
      </c>
      <c r="G42">
        <v>329</v>
      </c>
      <c r="H42">
        <v>271425</v>
      </c>
    </row>
    <row r="43" spans="1:8" x14ac:dyDescent="0.25">
      <c r="A43">
        <v>1042</v>
      </c>
      <c r="B43" t="s">
        <v>1112</v>
      </c>
      <c r="C43" t="s">
        <v>1047</v>
      </c>
      <c r="D43" t="s">
        <v>20</v>
      </c>
      <c r="E43" t="s">
        <v>1089</v>
      </c>
      <c r="F43" t="s">
        <v>1090</v>
      </c>
      <c r="G43">
        <v>346</v>
      </c>
      <c r="H43">
        <v>297560</v>
      </c>
    </row>
    <row r="44" spans="1:8" x14ac:dyDescent="0.25">
      <c r="A44">
        <v>1043</v>
      </c>
      <c r="B44" t="s">
        <v>1086</v>
      </c>
      <c r="C44" t="s">
        <v>1048</v>
      </c>
      <c r="D44" t="s">
        <v>1076</v>
      </c>
      <c r="E44" t="s">
        <v>1091</v>
      </c>
      <c r="F44" t="s">
        <v>1109</v>
      </c>
      <c r="G44">
        <v>363</v>
      </c>
      <c r="H44">
        <v>235950</v>
      </c>
    </row>
    <row r="45" spans="1:8" x14ac:dyDescent="0.25">
      <c r="A45">
        <v>1044</v>
      </c>
      <c r="B45" t="s">
        <v>1102</v>
      </c>
      <c r="C45" t="s">
        <v>1049</v>
      </c>
      <c r="D45" t="s">
        <v>1057</v>
      </c>
      <c r="E45" t="s">
        <v>1092</v>
      </c>
      <c r="F45" t="s">
        <v>1093</v>
      </c>
      <c r="G45">
        <v>380</v>
      </c>
      <c r="H45">
        <v>260300</v>
      </c>
    </row>
    <row r="46" spans="1:8" x14ac:dyDescent="0.25">
      <c r="A46">
        <v>1045</v>
      </c>
      <c r="B46" t="s">
        <v>1103</v>
      </c>
      <c r="C46" t="s">
        <v>1050</v>
      </c>
      <c r="D46" t="s">
        <v>26</v>
      </c>
      <c r="E46" t="s">
        <v>1094</v>
      </c>
      <c r="F46" t="s">
        <v>1095</v>
      </c>
      <c r="G46">
        <v>397</v>
      </c>
      <c r="H46">
        <v>285840</v>
      </c>
    </row>
    <row r="47" spans="1:8" x14ac:dyDescent="0.25">
      <c r="A47">
        <v>1046</v>
      </c>
      <c r="B47" t="s">
        <v>1110</v>
      </c>
      <c r="C47" t="s">
        <v>1051</v>
      </c>
      <c r="D47" t="s">
        <v>14</v>
      </c>
      <c r="E47" t="s">
        <v>1096</v>
      </c>
      <c r="F47" t="s">
        <v>1097</v>
      </c>
      <c r="G47">
        <v>414</v>
      </c>
      <c r="H47">
        <v>312570</v>
      </c>
    </row>
    <row r="48" spans="1:8" x14ac:dyDescent="0.25">
      <c r="A48">
        <v>1047</v>
      </c>
      <c r="B48" t="s">
        <v>1111</v>
      </c>
      <c r="C48" t="s">
        <v>1052</v>
      </c>
      <c r="D48" t="s">
        <v>20</v>
      </c>
      <c r="E48" t="s">
        <v>1098</v>
      </c>
      <c r="F48" t="s">
        <v>1099</v>
      </c>
      <c r="G48">
        <v>431</v>
      </c>
      <c r="H48">
        <v>340490</v>
      </c>
    </row>
    <row r="49" spans="1:8" x14ac:dyDescent="0.25">
      <c r="A49">
        <v>1048</v>
      </c>
      <c r="B49" t="s">
        <v>1112</v>
      </c>
      <c r="C49" t="s">
        <v>1053</v>
      </c>
      <c r="D49" t="s">
        <v>1076</v>
      </c>
      <c r="E49" t="s">
        <v>1100</v>
      </c>
      <c r="F49" t="s">
        <v>1101</v>
      </c>
      <c r="G49">
        <v>448</v>
      </c>
      <c r="H49">
        <v>369600</v>
      </c>
    </row>
    <row r="50" spans="1:8" x14ac:dyDescent="0.25">
      <c r="A50">
        <v>1049</v>
      </c>
      <c r="B50" t="s">
        <v>1086</v>
      </c>
      <c r="C50" t="s">
        <v>1042</v>
      </c>
      <c r="D50" t="s">
        <v>1057</v>
      </c>
      <c r="E50" t="s">
        <v>1106</v>
      </c>
      <c r="F50" t="s">
        <v>1113</v>
      </c>
      <c r="G50">
        <v>64</v>
      </c>
      <c r="H50">
        <v>55040</v>
      </c>
    </row>
    <row r="51" spans="1:8" x14ac:dyDescent="0.25">
      <c r="A51">
        <v>1050</v>
      </c>
      <c r="B51" t="s">
        <v>1102</v>
      </c>
      <c r="C51" t="s">
        <v>1043</v>
      </c>
      <c r="D51" t="s">
        <v>26</v>
      </c>
      <c r="E51" t="s">
        <v>1104</v>
      </c>
      <c r="F51" t="s">
        <v>1105</v>
      </c>
      <c r="G51">
        <v>81</v>
      </c>
      <c r="H51">
        <v>52650</v>
      </c>
    </row>
  </sheetData>
  <dataValidations count="2">
    <dataValidation type="list" allowBlank="1" showInputMessage="1" showErrorMessage="1" sqref="O23" xr:uid="{9366BA19-164E-4A99-9F46-2D275748E555}">
      <formula1>$J$3:$J$8</formula1>
    </dataValidation>
    <dataValidation type="list" allowBlank="1" showInputMessage="1" showErrorMessage="1" sqref="N24" xr:uid="{22FA0C5E-38BC-471E-891C-F4292CDEB691}">
      <formula1>$J$11:$J$22</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20B779-7C26-49EA-B4B7-C41F0FAEE1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Table</vt:lpstr>
      <vt:lpstr>Time Line</vt:lpstr>
      <vt:lpstr>Pivot Chart</vt:lpstr>
      <vt:lpstr>Slicer</vt:lpstr>
      <vt:lpstr>Grouping | Custom Grouping</vt:lpstr>
      <vt:lpstr>Show Value As</vt:lpstr>
      <vt:lpstr>Calculated Field</vt:lpstr>
      <vt:lpstr>Pivot Table Options</vt:lpstr>
      <vt:lpstr>Filters</vt:lpstr>
      <vt:lpstr>Dynamic Pivot Table</vt:lpstr>
      <vt:lpstr>GetPivotData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Rifatul Hasan</cp:lastModifiedBy>
  <dcterms:created xsi:type="dcterms:W3CDTF">2026-06-25T07:29:43Z</dcterms:created>
  <dcterms:modified xsi:type="dcterms:W3CDTF">2026-07-05T13:55:23Z</dcterms:modified>
</cp:coreProperties>
</file>