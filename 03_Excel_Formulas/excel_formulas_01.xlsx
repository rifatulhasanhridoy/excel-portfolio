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Excel\Formula\"/>
    </mc:Choice>
  </mc:AlternateContent>
  <xr:revisionPtr revIDLastSave="0" documentId="13_ncr:1_{A832E651-DD32-4953-B9A5-C14DD582D1D6}" xr6:coauthVersionLast="47" xr6:coauthVersionMax="47" xr10:uidLastSave="{00000000-0000-0000-0000-000000000000}"/>
  <bookViews>
    <workbookView xWindow="-120" yWindow="-120" windowWidth="29040" windowHeight="15840" tabRatio="913" firstSheet="4" activeTab="17" xr2:uid="{00000000-000D-0000-FFFF-FFFF00000000}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SUBSTITUTE" sheetId="21" r:id="rId18"/>
  </sheets>
  <definedNames>
    <definedName name="LIST1">VLOOKUP!$A:$E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1" l="1"/>
  <c r="B3" i="21"/>
  <c r="B4" i="21"/>
  <c r="B2" i="21"/>
  <c r="J3" i="19"/>
  <c r="J4" i="19"/>
  <c r="J5" i="19"/>
  <c r="J6" i="19"/>
  <c r="J7" i="19"/>
  <c r="J8" i="19"/>
  <c r="J9" i="19"/>
  <c r="J10" i="19"/>
  <c r="J11" i="19"/>
  <c r="J12" i="19"/>
  <c r="J13" i="19"/>
  <c r="J2" i="19"/>
  <c r="I3" i="19"/>
  <c r="I4" i="19"/>
  <c r="I5" i="19"/>
  <c r="I6" i="19"/>
  <c r="I7" i="19"/>
  <c r="I8" i="19"/>
  <c r="I9" i="19"/>
  <c r="I10" i="19"/>
  <c r="I11" i="19"/>
  <c r="I12" i="19"/>
  <c r="I13" i="19"/>
  <c r="I2" i="19"/>
  <c r="H3" i="19"/>
  <c r="H4" i="19"/>
  <c r="H5" i="19"/>
  <c r="H6" i="19"/>
  <c r="H7" i="19"/>
  <c r="H8" i="19"/>
  <c r="H9" i="19"/>
  <c r="H10" i="19"/>
  <c r="H11" i="19"/>
  <c r="H12" i="19"/>
  <c r="H13" i="19"/>
  <c r="H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D3" i="15"/>
  <c r="D4" i="15"/>
  <c r="D5" i="15"/>
  <c r="D6" i="15"/>
  <c r="D7" i="15"/>
  <c r="D8" i="15"/>
  <c r="D9" i="15"/>
  <c r="D10" i="15"/>
  <c r="D11" i="15"/>
  <c r="D12" i="15"/>
  <c r="D13" i="15"/>
  <c r="D2" i="15"/>
  <c r="E15" i="14"/>
  <c r="E14" i="14"/>
  <c r="E3" i="14"/>
  <c r="E4" i="14"/>
  <c r="E5" i="14"/>
  <c r="E6" i="14"/>
  <c r="E7" i="14"/>
  <c r="E8" i="14"/>
  <c r="E9" i="14"/>
  <c r="E10" i="14"/>
  <c r="E11" i="14"/>
  <c r="E12" i="14"/>
  <c r="E13" i="14"/>
  <c r="E2" i="14"/>
  <c r="D16" i="13"/>
  <c r="C16" i="13"/>
  <c r="D11" i="13"/>
  <c r="C11" i="13"/>
  <c r="D6" i="13"/>
  <c r="D17" i="13" s="1"/>
  <c r="C6" i="13"/>
  <c r="H2" i="12"/>
  <c r="H3" i="12"/>
  <c r="H4" i="12"/>
  <c r="G3" i="12"/>
  <c r="G4" i="12"/>
  <c r="G2" i="12"/>
  <c r="X7" i="11"/>
  <c r="X6" i="11"/>
  <c r="X4" i="11"/>
  <c r="X3" i="11"/>
  <c r="G3" i="9"/>
  <c r="H3" i="9"/>
  <c r="G4" i="9"/>
  <c r="H4" i="9"/>
  <c r="H2" i="9"/>
  <c r="G2" i="9"/>
  <c r="G3" i="8"/>
  <c r="G4" i="8"/>
  <c r="G2" i="8"/>
  <c r="B15" i="7" a="1"/>
  <c r="B15" i="7" s="1"/>
  <c r="C15" i="7" a="1"/>
  <c r="C15" i="7" s="1"/>
  <c r="E11" i="6"/>
  <c r="E10" i="6"/>
  <c r="E9" i="6"/>
  <c r="H3" i="4"/>
  <c r="H4" i="4"/>
  <c r="H5" i="4"/>
  <c r="H2" i="4"/>
  <c r="G9" i="5"/>
  <c r="F9" i="5"/>
  <c r="E9" i="5"/>
  <c r="D9" i="5"/>
  <c r="L2" i="3"/>
  <c r="H3" i="2"/>
  <c r="E2" i="1" a="1"/>
  <c r="E2" i="1" s="1"/>
  <c r="D2" i="1" a="1"/>
  <c r="D2" i="1" s="1"/>
  <c r="F2" i="6"/>
  <c r="F3" i="6"/>
  <c r="F1" i="6"/>
  <c r="G2" i="7"/>
  <c r="C17" i="13" l="1"/>
  <c r="F3" i="13"/>
  <c r="F2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<sst xmlns="http://schemas.openxmlformats.org/spreadsheetml/2006/main" count="692" uniqueCount="190">
  <si>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</si>
  <si>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</si>
  <si>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</si>
  <si>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</si>
  <si>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</si>
  <si>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</si>
  <si>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</si>
  <si>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</si>
  <si>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</si>
  <si>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</si>
  <si>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</si>
  <si>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</si>
  <si>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</si>
  <si>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</si>
  <si>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</si>
  <si>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</si>
  <si>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</si>
  <si>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</si>
  <si>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</si>
  <si>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</si>
  <si>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</si>
  <si>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</si>
  <si>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</si>
  <si>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</si>
  <si>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</si>
  <si>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</si>
  <si>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</si>
  <si>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</si>
  <si>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</si>
  <si>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</si>
  <si>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</si>
  <si>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</si>
  <si>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</si>
  <si>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</si>
  <si>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</si>
  <si>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</si>
  <si>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</si>
  <si>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</si>
  <si>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</si>
  <si>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</si>
  <si>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</si>
  <si>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</si>
  <si>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</si>
  <si>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</si>
  <si>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</si>
  <si>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</si>
  <si>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</si>
  <si>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</si>
  <si>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</si>
  <si>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</si>
  <si>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</si>
  <si>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</si>
  <si>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</si>
  <si>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</si>
  <si>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</si>
  <si>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</si>
  <si>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</si>
  <si>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</si>
  <si>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</si>
  <si>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</si>
  <si>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</si>
  <si>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</si>
  <si>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</si>
  <si>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</si>
  <si>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</si>
  <si>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</si>
  <si>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</si>
  <si>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</si>
  <si>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</si>
  <si>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</si>
  <si>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</si>
  <si>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</si>
  <si>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</si>
  <si>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</si>
  <si>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</si>
  <si>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</si>
  <si>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</si>
  <si>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</si>
  <si>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</si>
  <si>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</si>
  <si>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</si>
  <si>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</si>
  <si>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</si>
  <si>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</si>
  <si>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</si>
  <si>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</si>
  <si>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</si>
  <si>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</si>
  <si>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</si>
  <si>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</si>
  <si>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</si>
  <si>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</si>
  <si>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</si>
  <si>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</si>
  <si>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</si>
  <si>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</si>
  <si>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</si>
  <si>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</si>
  <si>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</si>
  <si>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</si>
  <si>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</si>
  <si>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</si>
  <si>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</si>
  <si>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</si>
  <si>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</si>
  <si>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</si>
  <si>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</si>
  <si>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</si>
  <si>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</si>
  <si>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</si>
  <si>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</si>
  <si>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</si>
  <si>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</si>
  <si>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</si>
  <si>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</si>
  <si>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</si>
  <si>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</si>
  <si>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</si>
  <si>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</si>
  <si>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</si>
  <si>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</si>
  <si>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</si>
  <si>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</si>
  <si>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</si>
  <si>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</si>
  <si>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</si>
  <si>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</si>
  <si>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</si>
  <si>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</si>
  <si>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</si>
  <si>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</si>
  <si>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</si>
  <si>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</si>
  <si>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</si>
  <si>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</si>
  <si>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</si>
  <si>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</si>
  <si>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</si>
  <si>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</si>
  <si>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</si>
  <si>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</si>
  <si>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</si>
  <si>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</si>
  <si>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</si>
  <si>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</si>
  <si>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</si>
  <si>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</si>
  <si>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</si>
  <si>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Pune -400088</t>
  </si>
  <si>
    <t>Ranchi -400095</t>
  </si>
  <si>
    <t>Amrutsar -400096</t>
  </si>
  <si>
    <t>DELHI,400001</t>
  </si>
  <si>
    <t>9812-12-12-12</t>
  </si>
  <si>
    <t>MUMBAI, 400086</t>
  </si>
  <si>
    <t>9812-34-56-78</t>
  </si>
  <si>
    <t>AFTER SUBSTITUTE</t>
  </si>
  <si>
    <t>MOB NO / DATA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</si>
  <si>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</si>
  <si>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</si>
  <si>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</si>
  <si>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</si>
  <si>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</si>
  <si>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</si>
  <si>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</si>
  <si>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</si>
  <si>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LEFT</t>
  </si>
  <si>
    <t>RIGHT</t>
  </si>
  <si>
    <t>MID</t>
  </si>
  <si>
    <t>Ahmedabad -400092</t>
  </si>
  <si>
    <t>Unique Value</t>
  </si>
  <si>
    <t>Frequncy</t>
  </si>
  <si>
    <t>Grand Total</t>
  </si>
  <si>
    <t>Cash Total</t>
  </si>
  <si>
    <t>Debit Card Total</t>
  </si>
  <si>
    <t>Online Total</t>
  </si>
  <si>
    <t>By SUMPRODUCT</t>
  </si>
  <si>
    <t>Bonus-OR</t>
  </si>
  <si>
    <t>BONUS-and</t>
  </si>
  <si>
    <t>Mumbai -40008697</t>
  </si>
  <si>
    <t>Delhi -400087553</t>
  </si>
  <si>
    <t>Chennai -4000894</t>
  </si>
  <si>
    <t>Alhabad -4000904656</t>
  </si>
  <si>
    <t>Surat -400</t>
  </si>
  <si>
    <t>Punji -4000934654</t>
  </si>
  <si>
    <t>Bhopal -4000944</t>
  </si>
  <si>
    <t>Kolkatta -40009746</t>
  </si>
  <si>
    <t>LEFT+Find</t>
  </si>
  <si>
    <t>Right+Len+Find</t>
  </si>
  <si>
    <t>MID for Left</t>
  </si>
  <si>
    <t>MID for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</si>
</sst>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9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18" fontId="0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Font="1" applyBorder="1"/>
    <xf numFmtId="0" fontId="1" fillId="0" borderId="0" xfId="2"/>
    <xf numFmtId="164" fontId="8" fillId="0" borderId="1" xfId="1" applyNumberFormat="1" applyFont="1" applyBorder="1"/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Font="1" applyBorder="1"/>
    <xf numFmtId="0" fontId="2" fillId="7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0" fillId="6" borderId="8" xfId="0" applyFill="1" applyBorder="1"/>
    <xf numFmtId="0" fontId="0" fillId="6" borderId="0" xfId="0" applyFill="1" applyBorder="1"/>
    <xf numFmtId="0" fontId="0" fillId="6" borderId="2" xfId="0" applyFill="1" applyBorder="1"/>
    <xf numFmtId="0" fontId="0" fillId="2" borderId="8" xfId="0" applyFont="1" applyFill="1" applyBorder="1"/>
    <xf numFmtId="169" fontId="0" fillId="0" borderId="1" xfId="0" applyNumberFormat="1" applyBorder="1"/>
    <xf numFmtId="0" fontId="0" fillId="0" borderId="0" xfId="0" applyBorder="1"/>
    <xf numFmtId="0" fontId="0" fillId="0" borderId="0" xfId="0" applyFont="1" applyFill="1" applyBorder="1"/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Border="1"/>
    <xf numFmtId="0" fontId="9" fillId="0" borderId="1" xfId="0" applyFont="1" applyBorder="1"/>
    <xf numFmtId="0" fontId="9" fillId="0" borderId="0" xfId="0" applyFont="1" applyBorder="1"/>
    <xf numFmtId="0" fontId="9" fillId="8" borderId="0" xfId="0" applyFont="1" applyFill="1"/>
    <xf numFmtId="0" fontId="0" fillId="6" borderId="0" xfId="0" applyFill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2">
    <dxf>
      <font>
        <b val="0"/>
        <i val="0"/>
      </font>
      <fill>
        <patternFill>
          <bgColor rgb="FFFF0066"/>
        </patternFill>
      </fill>
      <border>
        <left/>
        <right/>
        <top/>
        <bottom/>
        <vertical/>
        <horizontal/>
      </border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200" zoomScaleNormal="200" workbookViewId="0">
      <selection activeCell="D2" sqref="D2"/>
    </sheetView>
  </sheetViews>
  <sheetFormatPr defaultRowHeight="15" x14ac:dyDescent="0.25"/>
  <cols>
    <col min="1" max="1" width="8.85546875" style="4"/>
    <col min="2" max="2" width="15.85546875" style="4" customWidth="1"/>
    <col min="3" max="3" width="10.42578125" style="4" customWidth="1"/>
    <col min="4" max="4" width="13.140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1" t="s">
        <v>169</v>
      </c>
      <c r="E1" s="31" t="s">
        <v>170</v>
      </c>
    </row>
    <row r="2" spans="1:5" x14ac:dyDescent="0.25">
      <c r="A2" s="2">
        <v>1</v>
      </c>
      <c r="B2" s="2" t="s">
        <v>3</v>
      </c>
      <c r="C2" s="2">
        <v>29</v>
      </c>
      <c r="D2" cm="1">
        <f t="array" ref="D2:D10">_xlfn.UNIQUE(C2:C21)</f>
        <v>29</v>
      </c>
      <c r="E2" cm="1">
        <f t="array" ref="E2:E11">FREQUENCY($C$2:$C$21,_xlfn.ANCHORARRAY(D2))</f>
        <v>3</v>
      </c>
    </row>
    <row r="3" spans="1:5" x14ac:dyDescent="0.25">
      <c r="A3" s="2">
        <v>2</v>
      </c>
      <c r="B3" s="2" t="s">
        <v>4</v>
      </c>
      <c r="C3" s="2">
        <v>20</v>
      </c>
      <c r="D3">
        <v>20</v>
      </c>
      <c r="E3">
        <v>4</v>
      </c>
    </row>
    <row r="4" spans="1:5" x14ac:dyDescent="0.25">
      <c r="A4" s="2">
        <v>3</v>
      </c>
      <c r="B4" s="2" t="s">
        <v>5</v>
      </c>
      <c r="C4" s="2">
        <v>33</v>
      </c>
      <c r="D4">
        <v>33</v>
      </c>
      <c r="E4">
        <v>2</v>
      </c>
    </row>
    <row r="5" spans="1:5" x14ac:dyDescent="0.25">
      <c r="A5" s="2">
        <v>4</v>
      </c>
      <c r="B5" s="2" t="s">
        <v>6</v>
      </c>
      <c r="C5" s="2">
        <v>20</v>
      </c>
      <c r="D5">
        <v>21</v>
      </c>
      <c r="E5">
        <v>2</v>
      </c>
    </row>
    <row r="6" spans="1:5" x14ac:dyDescent="0.25">
      <c r="A6" s="2">
        <v>5</v>
      </c>
      <c r="B6" s="2" t="s">
        <v>7</v>
      </c>
      <c r="C6" s="2">
        <v>29</v>
      </c>
      <c r="D6">
        <v>34</v>
      </c>
      <c r="E6">
        <v>1</v>
      </c>
    </row>
    <row r="7" spans="1:5" x14ac:dyDescent="0.25">
      <c r="A7" s="2">
        <v>6</v>
      </c>
      <c r="B7" s="2" t="s">
        <v>8</v>
      </c>
      <c r="C7" s="2">
        <v>33</v>
      </c>
      <c r="D7">
        <v>28</v>
      </c>
      <c r="E7">
        <v>2</v>
      </c>
    </row>
    <row r="8" spans="1:5" x14ac:dyDescent="0.25">
      <c r="A8" s="2">
        <v>7</v>
      </c>
      <c r="B8" s="2" t="s">
        <v>9</v>
      </c>
      <c r="C8" s="2">
        <v>21</v>
      </c>
      <c r="D8">
        <v>27</v>
      </c>
      <c r="E8">
        <v>3</v>
      </c>
    </row>
    <row r="9" spans="1:5" x14ac:dyDescent="0.25">
      <c r="A9" s="2">
        <v>8</v>
      </c>
      <c r="B9" s="2" t="s">
        <v>12</v>
      </c>
      <c r="C9" s="2">
        <v>29</v>
      </c>
      <c r="D9">
        <v>22</v>
      </c>
      <c r="E9">
        <v>1</v>
      </c>
    </row>
    <row r="10" spans="1:5" x14ac:dyDescent="0.25">
      <c r="A10" s="2">
        <v>9</v>
      </c>
      <c r="B10" s="2" t="s">
        <v>10</v>
      </c>
      <c r="C10" s="2">
        <v>34</v>
      </c>
      <c r="D10">
        <v>23</v>
      </c>
      <c r="E10">
        <v>2</v>
      </c>
    </row>
    <row r="11" spans="1:5" x14ac:dyDescent="0.25">
      <c r="A11" s="2">
        <v>10</v>
      </c>
      <c r="B11" s="2" t="s">
        <v>13</v>
      </c>
      <c r="C11" s="2">
        <v>28</v>
      </c>
      <c r="E11">
        <v>0</v>
      </c>
    </row>
    <row r="12" spans="1:5" x14ac:dyDescent="0.25">
      <c r="A12" s="2">
        <v>11</v>
      </c>
      <c r="B12" s="2" t="s">
        <v>14</v>
      </c>
      <c r="C12" s="2">
        <v>20</v>
      </c>
    </row>
    <row r="13" spans="1:5" x14ac:dyDescent="0.25">
      <c r="A13" s="2">
        <v>12</v>
      </c>
      <c r="B13" s="2" t="s">
        <v>15</v>
      </c>
      <c r="C13" s="2">
        <v>27</v>
      </c>
    </row>
    <row r="14" spans="1:5" x14ac:dyDescent="0.25">
      <c r="A14" s="2">
        <v>13</v>
      </c>
      <c r="B14" s="2" t="s">
        <v>16</v>
      </c>
      <c r="C14" s="2">
        <v>21</v>
      </c>
    </row>
    <row r="15" spans="1:5" x14ac:dyDescent="0.25">
      <c r="A15" s="2">
        <v>14</v>
      </c>
      <c r="B15" s="2" t="s">
        <v>17</v>
      </c>
      <c r="C15" s="2">
        <v>28</v>
      </c>
    </row>
    <row r="16" spans="1:5" x14ac:dyDescent="0.25">
      <c r="A16" s="2">
        <v>15</v>
      </c>
      <c r="B16" s="2" t="s">
        <v>18</v>
      </c>
      <c r="C16" s="2">
        <v>27</v>
      </c>
    </row>
    <row r="17" spans="1:3" x14ac:dyDescent="0.25">
      <c r="A17" s="2">
        <v>16</v>
      </c>
      <c r="B17" s="2" t="s">
        <v>19</v>
      </c>
      <c r="C17" s="2">
        <v>20</v>
      </c>
    </row>
    <row r="18" spans="1:3" x14ac:dyDescent="0.25">
      <c r="A18" s="2">
        <v>17</v>
      </c>
      <c r="B18" s="2" t="s">
        <v>21</v>
      </c>
      <c r="C18" s="2">
        <v>22</v>
      </c>
    </row>
    <row r="19" spans="1:3" x14ac:dyDescent="0.25">
      <c r="A19" s="2">
        <v>18</v>
      </c>
      <c r="B19" s="2" t="s">
        <v>20</v>
      </c>
      <c r="C19" s="2">
        <v>23</v>
      </c>
    </row>
    <row r="20" spans="1:3" x14ac:dyDescent="0.25">
      <c r="A20" s="2">
        <v>19</v>
      </c>
      <c r="B20" s="2" t="s">
        <v>22</v>
      </c>
      <c r="C20" s="2">
        <v>27</v>
      </c>
    </row>
    <row r="21" spans="1:3" x14ac:dyDescent="0.25">
      <c r="A21" s="2">
        <v>20</v>
      </c>
      <c r="B21" s="2" t="s">
        <v>11</v>
      </c>
      <c r="C21" s="2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200" zoomScaleNormal="200" workbookViewId="0">
      <selection activeCell="H2" sqref="H2"/>
    </sheetView>
  </sheetViews>
  <sheetFormatPr defaultRowHeight="15" x14ac:dyDescent="0.25"/>
  <cols>
    <col min="1" max="1" width="14.5703125" customWidth="1"/>
    <col min="3" max="3" width="11.28515625" customWidth="1"/>
    <col min="4" max="4" width="9.85546875" customWidth="1"/>
    <col min="5" max="5" width="10.28515625" customWidth="1"/>
    <col min="7" max="7" width="11.85546875" customWidth="1"/>
    <col min="8" max="8" width="10.85546875" customWidth="1"/>
  </cols>
  <sheetData>
    <row r="1" spans="1:8" x14ac:dyDescent="0.25">
      <c r="A1" s="46" t="s">
        <v>35</v>
      </c>
      <c r="B1" s="46"/>
      <c r="C1" s="46"/>
      <c r="D1" s="46"/>
      <c r="E1" s="46"/>
      <c r="G1" s="45" t="s">
        <v>34</v>
      </c>
      <c r="H1" s="45"/>
    </row>
    <row r="2" spans="1:8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G2" s="3" t="s">
        <v>33</v>
      </c>
      <c r="H2" s="1" t="s">
        <v>27</v>
      </c>
    </row>
    <row r="3" spans="1:8" x14ac:dyDescent="0.25">
      <c r="A3" s="5">
        <v>0.29166666666666669</v>
      </c>
      <c r="B3" s="2" t="s">
        <v>28</v>
      </c>
      <c r="C3" s="2" t="s">
        <v>29</v>
      </c>
      <c r="D3" s="2" t="s">
        <v>30</v>
      </c>
      <c r="E3" s="2" t="s">
        <v>31</v>
      </c>
      <c r="G3" s="6">
        <v>0.375</v>
      </c>
      <c r="H3" s="32" t="str">
        <f>INDEX(A2:$E$9,MATCH($G$3,A2:A9,0),MATCH($H$2,$A$2:$E$2,0))</f>
        <v>Excel</v>
      </c>
    </row>
    <row r="4" spans="1:8" x14ac:dyDescent="0.25">
      <c r="A4" s="5">
        <v>0.33333333333333298</v>
      </c>
      <c r="B4" s="2" t="s">
        <v>29</v>
      </c>
      <c r="C4" s="2" t="s">
        <v>32</v>
      </c>
      <c r="D4" s="2" t="s">
        <v>29</v>
      </c>
      <c r="E4" s="2" t="s">
        <v>30</v>
      </c>
    </row>
    <row r="5" spans="1:8" x14ac:dyDescent="0.25">
      <c r="A5" s="5">
        <v>0.375</v>
      </c>
      <c r="B5" s="2" t="s">
        <v>31</v>
      </c>
      <c r="C5" s="2" t="s">
        <v>30</v>
      </c>
      <c r="D5" s="2" t="s">
        <v>30</v>
      </c>
      <c r="E5" s="2" t="s">
        <v>29</v>
      </c>
      <c r="F5" s="34"/>
      <c r="G5" s="33"/>
    </row>
    <row r="6" spans="1:8" x14ac:dyDescent="0.25">
      <c r="A6" s="5">
        <v>0.41666666666666702</v>
      </c>
      <c r="B6" s="2" t="s">
        <v>30</v>
      </c>
      <c r="C6" s="2" t="s">
        <v>28</v>
      </c>
      <c r="D6" s="2" t="s">
        <v>31</v>
      </c>
      <c r="E6" s="2" t="s">
        <v>28</v>
      </c>
      <c r="F6" s="34"/>
      <c r="G6" s="33"/>
    </row>
    <row r="7" spans="1:8" x14ac:dyDescent="0.25">
      <c r="A7" s="5">
        <v>0.45833333333333298</v>
      </c>
      <c r="B7" s="2" t="s">
        <v>28</v>
      </c>
      <c r="C7" s="2" t="s">
        <v>29</v>
      </c>
      <c r="D7" s="2" t="s">
        <v>28</v>
      </c>
      <c r="E7" s="2" t="s">
        <v>29</v>
      </c>
    </row>
    <row r="8" spans="1:8" x14ac:dyDescent="0.25">
      <c r="A8" s="5">
        <v>0.5</v>
      </c>
      <c r="B8" s="2" t="s">
        <v>29</v>
      </c>
      <c r="C8" s="2" t="s">
        <v>30</v>
      </c>
      <c r="D8" s="2" t="s">
        <v>29</v>
      </c>
      <c r="E8" s="2" t="s">
        <v>28</v>
      </c>
    </row>
    <row r="9" spans="1:8" x14ac:dyDescent="0.25">
      <c r="A9" s="5">
        <v>0.54166666666666696</v>
      </c>
      <c r="B9" s="2" t="s">
        <v>31</v>
      </c>
      <c r="C9" s="2" t="s">
        <v>32</v>
      </c>
      <c r="D9" s="2" t="s">
        <v>30</v>
      </c>
      <c r="E9" s="2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" xr:uid="{00000000-0002-0000-0100-000000000000}">
      <formula1>$A$3:$A$9</formula1>
    </dataValidation>
    <dataValidation type="list" allowBlank="1" showInputMessage="1" showErrorMessage="1" sqref="H2" xr:uid="{00000000-0002-0000-0100-000001000000}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="150" zoomScaleNormal="150" workbookViewId="0">
      <selection activeCell="K2" sqref="K2"/>
    </sheetView>
  </sheetViews>
  <sheetFormatPr defaultRowHeight="15" x14ac:dyDescent="0.25"/>
  <cols>
    <col min="1" max="1" width="8.5703125" bestFit="1" customWidth="1"/>
    <col min="2" max="2" width="29.42578125" bestFit="1" customWidth="1"/>
    <col min="3" max="3" width="12" style="9" bestFit="1" customWidth="1"/>
    <col min="4" max="4" width="15.5703125" style="8" customWidth="1"/>
    <col min="5" max="5" width="20.42578125" style="9" customWidth="1"/>
    <col min="6" max="6" width="19.42578125" style="9" customWidth="1"/>
    <col min="7" max="7" width="8.85546875" style="9" customWidth="1"/>
    <col min="8" max="8" width="11.140625" style="9" customWidth="1"/>
    <col min="9" max="9" width="10.42578125" style="9" bestFit="1" customWidth="1"/>
    <col min="11" max="11" width="19" bestFit="1" customWidth="1"/>
    <col min="12" max="12" width="11.5703125" customWidth="1"/>
  </cols>
  <sheetData>
    <row r="1" spans="1:12" ht="18.75" x14ac:dyDescent="0.3">
      <c r="A1" s="35" t="s">
        <v>36</v>
      </c>
      <c r="B1" s="35" t="s">
        <v>37</v>
      </c>
      <c r="C1" s="35" t="s">
        <v>38</v>
      </c>
      <c r="D1" s="36" t="s">
        <v>39</v>
      </c>
      <c r="E1" s="35" t="s">
        <v>40</v>
      </c>
      <c r="F1" s="35" t="s">
        <v>41</v>
      </c>
      <c r="G1" s="35" t="s">
        <v>42</v>
      </c>
      <c r="H1" s="35" t="s">
        <v>43</v>
      </c>
      <c r="I1" s="35" t="s">
        <v>44</v>
      </c>
      <c r="K1" s="11" t="s">
        <v>65</v>
      </c>
      <c r="L1" s="10" t="s">
        <v>157</v>
      </c>
    </row>
    <row r="2" spans="1:12" ht="18.75" x14ac:dyDescent="0.3">
      <c r="A2" s="37">
        <v>1</v>
      </c>
      <c r="B2" s="37" t="s">
        <v>45</v>
      </c>
      <c r="C2" s="37">
        <v>26</v>
      </c>
      <c r="D2" s="38">
        <v>2370</v>
      </c>
      <c r="E2" s="37">
        <v>2290</v>
      </c>
      <c r="F2" s="37">
        <v>7150</v>
      </c>
      <c r="G2" s="37">
        <v>559</v>
      </c>
      <c r="H2" s="37">
        <v>72</v>
      </c>
      <c r="I2" s="37">
        <v>6519</v>
      </c>
      <c r="K2" s="7" t="s">
        <v>49</v>
      </c>
      <c r="L2">
        <f>LOOKUP(K2,$B:$B,$A:$A)</f>
        <v>5</v>
      </c>
    </row>
    <row r="3" spans="1:12" ht="18.75" x14ac:dyDescent="0.3">
      <c r="A3" s="37">
        <v>2</v>
      </c>
      <c r="B3" s="37" t="s">
        <v>46</v>
      </c>
      <c r="C3" s="37">
        <v>15</v>
      </c>
      <c r="D3" s="38">
        <v>1315.3846153846155</v>
      </c>
      <c r="E3" s="37">
        <v>1275</v>
      </c>
      <c r="F3" s="37">
        <v>3975</v>
      </c>
      <c r="G3" s="37">
        <v>311</v>
      </c>
      <c r="H3" s="37">
        <v>40</v>
      </c>
      <c r="I3" s="37">
        <v>3624</v>
      </c>
    </row>
    <row r="4" spans="1:12" ht="18.75" x14ac:dyDescent="0.3">
      <c r="A4" s="37">
        <v>3</v>
      </c>
      <c r="B4" s="37" t="s">
        <v>47</v>
      </c>
      <c r="C4" s="37">
        <v>26</v>
      </c>
      <c r="D4" s="38">
        <v>2370</v>
      </c>
      <c r="E4" s="37">
        <v>2290</v>
      </c>
      <c r="F4" s="37">
        <v>7150</v>
      </c>
      <c r="G4" s="37">
        <v>559</v>
      </c>
      <c r="H4" s="37">
        <v>72</v>
      </c>
      <c r="I4" s="37">
        <v>6519</v>
      </c>
    </row>
    <row r="5" spans="1:12" ht="18.75" x14ac:dyDescent="0.3">
      <c r="A5" s="37">
        <v>4</v>
      </c>
      <c r="B5" s="37" t="s">
        <v>48</v>
      </c>
      <c r="C5" s="37">
        <v>26</v>
      </c>
      <c r="D5" s="38">
        <v>2370</v>
      </c>
      <c r="E5" s="37">
        <v>2290</v>
      </c>
      <c r="F5" s="37">
        <v>7150</v>
      </c>
      <c r="G5" s="37">
        <v>559</v>
      </c>
      <c r="H5" s="37">
        <v>72</v>
      </c>
      <c r="I5" s="37">
        <v>6519</v>
      </c>
    </row>
    <row r="6" spans="1:12" ht="18.75" x14ac:dyDescent="0.3">
      <c r="A6" s="37">
        <v>5</v>
      </c>
      <c r="B6" s="37" t="s">
        <v>49</v>
      </c>
      <c r="C6" s="37">
        <v>3</v>
      </c>
      <c r="D6" s="38">
        <v>273.46153846153845</v>
      </c>
      <c r="E6" s="37">
        <v>264.23076923076923</v>
      </c>
      <c r="F6" s="37">
        <v>825</v>
      </c>
      <c r="G6" s="37">
        <v>65</v>
      </c>
      <c r="H6" s="37">
        <v>8</v>
      </c>
      <c r="I6" s="37">
        <v>752</v>
      </c>
    </row>
    <row r="7" spans="1:12" ht="18.75" x14ac:dyDescent="0.3">
      <c r="A7" s="37">
        <v>6</v>
      </c>
      <c r="B7" s="37" t="s">
        <v>50</v>
      </c>
      <c r="C7" s="37">
        <v>2</v>
      </c>
      <c r="D7" s="38">
        <v>182.30769230769232</v>
      </c>
      <c r="E7" s="37">
        <v>176.15384615384616</v>
      </c>
      <c r="F7" s="37">
        <v>550</v>
      </c>
      <c r="G7" s="37">
        <v>43</v>
      </c>
      <c r="H7" s="37">
        <v>6</v>
      </c>
      <c r="I7" s="37">
        <v>501</v>
      </c>
    </row>
    <row r="8" spans="1:12" ht="18.75" x14ac:dyDescent="0.3">
      <c r="A8" s="37">
        <v>7</v>
      </c>
      <c r="B8" s="37" t="s">
        <v>51</v>
      </c>
      <c r="C8" s="37">
        <v>22</v>
      </c>
      <c r="D8" s="38">
        <v>2005.3846153846155</v>
      </c>
      <c r="E8" s="37">
        <v>1937.6923076923078</v>
      </c>
      <c r="F8" s="37">
        <v>6050</v>
      </c>
      <c r="G8" s="37">
        <v>473</v>
      </c>
      <c r="H8" s="37">
        <v>61</v>
      </c>
      <c r="I8" s="37">
        <v>5516</v>
      </c>
    </row>
    <row r="9" spans="1:12" ht="18.75" x14ac:dyDescent="0.3">
      <c r="A9" s="37">
        <v>8</v>
      </c>
      <c r="B9" s="37" t="s">
        <v>52</v>
      </c>
      <c r="C9" s="37">
        <v>22</v>
      </c>
      <c r="D9" s="38">
        <v>2005.3846153846155</v>
      </c>
      <c r="E9" s="37">
        <v>1937.6923076923078</v>
      </c>
      <c r="F9" s="37">
        <v>6050</v>
      </c>
      <c r="G9" s="37">
        <v>473</v>
      </c>
      <c r="H9" s="37">
        <v>61</v>
      </c>
      <c r="I9" s="37">
        <v>5516</v>
      </c>
    </row>
    <row r="10" spans="1:12" ht="18.75" x14ac:dyDescent="0.3">
      <c r="A10" s="37">
        <v>9</v>
      </c>
      <c r="B10" s="37" t="s">
        <v>53</v>
      </c>
      <c r="C10" s="37">
        <v>26</v>
      </c>
      <c r="D10" s="38">
        <v>2370</v>
      </c>
      <c r="E10" s="37">
        <v>2290</v>
      </c>
      <c r="F10" s="37">
        <v>7150</v>
      </c>
      <c r="G10" s="37">
        <v>559</v>
      </c>
      <c r="H10" s="37">
        <v>72</v>
      </c>
      <c r="I10" s="37">
        <v>6519</v>
      </c>
    </row>
    <row r="11" spans="1:12" ht="18.75" x14ac:dyDescent="0.3">
      <c r="A11" s="37">
        <v>10</v>
      </c>
      <c r="B11" s="37" t="s">
        <v>54</v>
      </c>
      <c r="C11" s="37">
        <v>26</v>
      </c>
      <c r="D11" s="38">
        <v>2370</v>
      </c>
      <c r="E11" s="37">
        <v>2290</v>
      </c>
      <c r="F11" s="37">
        <v>7150</v>
      </c>
      <c r="G11" s="37">
        <v>559</v>
      </c>
      <c r="H11" s="37">
        <v>72</v>
      </c>
      <c r="I11" s="37">
        <v>6519</v>
      </c>
    </row>
    <row r="12" spans="1:12" ht="18.75" x14ac:dyDescent="0.3">
      <c r="A12" s="37">
        <v>11</v>
      </c>
      <c r="B12" s="37" t="s">
        <v>55</v>
      </c>
      <c r="C12" s="37">
        <v>26</v>
      </c>
      <c r="D12" s="38">
        <v>2370</v>
      </c>
      <c r="E12" s="37">
        <v>2290</v>
      </c>
      <c r="F12" s="37">
        <v>7150</v>
      </c>
      <c r="G12" s="37">
        <v>559</v>
      </c>
      <c r="H12" s="37">
        <v>72</v>
      </c>
      <c r="I12" s="37">
        <v>6519</v>
      </c>
    </row>
    <row r="13" spans="1:12" ht="18.75" x14ac:dyDescent="0.3">
      <c r="A13" s="37">
        <v>12</v>
      </c>
      <c r="B13" s="37" t="s">
        <v>56</v>
      </c>
      <c r="C13" s="37">
        <v>24</v>
      </c>
      <c r="D13" s="38">
        <v>2104.6153846153848</v>
      </c>
      <c r="E13" s="37">
        <v>2040</v>
      </c>
      <c r="F13" s="37">
        <v>6360</v>
      </c>
      <c r="G13" s="37">
        <v>497</v>
      </c>
      <c r="H13" s="37">
        <v>64</v>
      </c>
      <c r="I13" s="37">
        <v>5799</v>
      </c>
    </row>
    <row r="14" spans="1:12" ht="18.75" x14ac:dyDescent="0.3">
      <c r="A14" s="37">
        <v>13</v>
      </c>
      <c r="B14" s="37" t="s">
        <v>57</v>
      </c>
      <c r="C14" s="37">
        <v>26</v>
      </c>
      <c r="D14" s="38">
        <v>2370</v>
      </c>
      <c r="E14" s="37">
        <v>2290</v>
      </c>
      <c r="F14" s="37">
        <v>7150</v>
      </c>
      <c r="G14" s="37">
        <v>559</v>
      </c>
      <c r="H14" s="37">
        <v>72</v>
      </c>
      <c r="I14" s="37">
        <v>6519</v>
      </c>
    </row>
    <row r="15" spans="1:12" ht="18.75" x14ac:dyDescent="0.3">
      <c r="A15" s="37">
        <v>14</v>
      </c>
      <c r="B15" s="37" t="s">
        <v>58</v>
      </c>
      <c r="C15" s="37">
        <v>25</v>
      </c>
      <c r="D15" s="38">
        <v>2278.8461538461538</v>
      </c>
      <c r="E15" s="37">
        <v>2201.9230769230771</v>
      </c>
      <c r="F15" s="37">
        <v>6875</v>
      </c>
      <c r="G15" s="37">
        <v>538</v>
      </c>
      <c r="H15" s="37">
        <v>69</v>
      </c>
      <c r="I15" s="37">
        <v>6268</v>
      </c>
    </row>
    <row r="16" spans="1:12" ht="18.75" x14ac:dyDescent="0.3">
      <c r="A16" s="37">
        <v>15</v>
      </c>
      <c r="B16" s="37" t="s">
        <v>59</v>
      </c>
      <c r="C16" s="37">
        <v>17</v>
      </c>
      <c r="D16" s="38">
        <v>1549.6153846153848</v>
      </c>
      <c r="E16" s="37">
        <v>1497.3076923076924</v>
      </c>
      <c r="F16" s="37">
        <v>4675</v>
      </c>
      <c r="G16" s="37">
        <v>366</v>
      </c>
      <c r="H16" s="37">
        <v>47</v>
      </c>
      <c r="I16" s="37">
        <v>4262</v>
      </c>
    </row>
    <row r="17" spans="1:9" ht="18.75" x14ac:dyDescent="0.3">
      <c r="A17" s="37">
        <v>16</v>
      </c>
      <c r="B17" s="37" t="s">
        <v>60</v>
      </c>
      <c r="C17" s="37">
        <v>17</v>
      </c>
      <c r="D17" s="38">
        <v>1549.6153846153848</v>
      </c>
      <c r="E17" s="37">
        <v>1497.3076923076924</v>
      </c>
      <c r="F17" s="37">
        <v>4675</v>
      </c>
      <c r="G17" s="37">
        <v>366</v>
      </c>
      <c r="H17" s="37">
        <v>47</v>
      </c>
      <c r="I17" s="37">
        <v>4262</v>
      </c>
    </row>
    <row r="18" spans="1:9" ht="18.75" x14ac:dyDescent="0.3">
      <c r="A18" s="37">
        <v>17</v>
      </c>
      <c r="B18" s="37" t="s">
        <v>61</v>
      </c>
      <c r="C18" s="37">
        <v>3</v>
      </c>
      <c r="D18" s="38">
        <v>263.07692307692309</v>
      </c>
      <c r="E18" s="37">
        <v>255</v>
      </c>
      <c r="F18" s="37">
        <v>795</v>
      </c>
      <c r="G18" s="37">
        <v>62</v>
      </c>
      <c r="H18" s="37">
        <v>8</v>
      </c>
      <c r="I18" s="37">
        <v>725</v>
      </c>
    </row>
    <row r="19" spans="1:9" ht="18.75" x14ac:dyDescent="0.3">
      <c r="A19" s="37">
        <v>18</v>
      </c>
      <c r="B19" s="37" t="s">
        <v>62</v>
      </c>
      <c r="C19" s="37">
        <v>19</v>
      </c>
      <c r="D19" s="38">
        <v>1731.9230769230771</v>
      </c>
      <c r="E19" s="37">
        <v>1673.4615384615386</v>
      </c>
      <c r="F19" s="37">
        <v>5225</v>
      </c>
      <c r="G19" s="37">
        <v>409</v>
      </c>
      <c r="H19" s="37">
        <v>52</v>
      </c>
      <c r="I19" s="37">
        <v>4764</v>
      </c>
    </row>
    <row r="20" spans="1:9" ht="18.75" x14ac:dyDescent="0.3">
      <c r="A20" s="37">
        <v>19</v>
      </c>
      <c r="B20" s="37" t="s">
        <v>63</v>
      </c>
      <c r="C20" s="37">
        <v>26</v>
      </c>
      <c r="D20" s="38">
        <v>2370</v>
      </c>
      <c r="E20" s="37">
        <v>2290</v>
      </c>
      <c r="F20" s="37">
        <v>7150</v>
      </c>
      <c r="G20" s="37">
        <v>559</v>
      </c>
      <c r="H20" s="37">
        <v>72</v>
      </c>
      <c r="I20" s="37">
        <v>6519</v>
      </c>
    </row>
    <row r="21" spans="1:9" ht="18.75" x14ac:dyDescent="0.3">
      <c r="A21" s="37">
        <v>20</v>
      </c>
      <c r="B21" s="37" t="s">
        <v>64</v>
      </c>
      <c r="C21" s="37">
        <v>5</v>
      </c>
      <c r="D21" s="38">
        <v>455.76923076923083</v>
      </c>
      <c r="E21" s="37">
        <v>440.38461538461542</v>
      </c>
      <c r="F21" s="37">
        <v>1375</v>
      </c>
      <c r="G21" s="37">
        <v>108</v>
      </c>
      <c r="H21" s="37">
        <v>14</v>
      </c>
      <c r="I21" s="37">
        <v>1253</v>
      </c>
    </row>
  </sheetData>
  <dataValidations count="1">
    <dataValidation type="list" allowBlank="1" showInputMessage="1" showErrorMessage="1" sqref="K2" xr:uid="{00000000-0002-0000-0200-000000000000}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="200" zoomScaleNormal="200" workbookViewId="0">
      <selection activeCell="H9" sqref="H9"/>
    </sheetView>
  </sheetViews>
  <sheetFormatPr defaultRowHeight="15" x14ac:dyDescent="0.25"/>
  <cols>
    <col min="1" max="1" width="11.140625" style="17" bestFit="1" customWidth="1"/>
    <col min="2" max="3" width="10.42578125" style="17" bestFit="1" customWidth="1"/>
    <col min="4" max="4" width="12.7109375" style="17" customWidth="1"/>
    <col min="5" max="5" width="9.42578125" style="17" bestFit="1" customWidth="1"/>
    <col min="7" max="7" width="10.85546875" bestFit="1" customWidth="1"/>
    <col min="8" max="8" width="12.85546875" style="9" customWidth="1"/>
  </cols>
  <sheetData>
    <row r="1" spans="1:8" ht="15.75" x14ac:dyDescent="0.25">
      <c r="A1" s="12" t="s">
        <v>66</v>
      </c>
      <c r="B1" s="13" t="s">
        <v>79</v>
      </c>
      <c r="C1" s="12" t="s">
        <v>67</v>
      </c>
      <c r="D1" s="12" t="s">
        <v>68</v>
      </c>
      <c r="E1" s="12" t="s">
        <v>69</v>
      </c>
      <c r="G1" s="12" t="s">
        <v>66</v>
      </c>
      <c r="H1">
        <v>5600008</v>
      </c>
    </row>
    <row r="2" spans="1:8" ht="15.75" x14ac:dyDescent="0.25">
      <c r="A2" s="14">
        <v>5600001</v>
      </c>
      <c r="B2" s="15">
        <v>5000</v>
      </c>
      <c r="C2" s="16" t="s">
        <v>70</v>
      </c>
      <c r="D2" s="16" t="s">
        <v>71</v>
      </c>
      <c r="E2" s="16" t="s">
        <v>72</v>
      </c>
      <c r="G2" s="13" t="s">
        <v>79</v>
      </c>
      <c r="H2" s="9">
        <f>VLOOKUP($H$1,LIST1,MATCH($G2,$A$1:$E$1,0),0)</f>
        <v>5000</v>
      </c>
    </row>
    <row r="3" spans="1:8" ht="15.75" x14ac:dyDescent="0.25">
      <c r="A3" s="14">
        <v>5600002</v>
      </c>
      <c r="B3" s="15">
        <v>14571</v>
      </c>
      <c r="C3" s="16" t="s">
        <v>73</v>
      </c>
      <c r="D3" s="16" t="s">
        <v>71</v>
      </c>
      <c r="E3" s="16" t="s">
        <v>74</v>
      </c>
      <c r="G3" s="12" t="s">
        <v>67</v>
      </c>
      <c r="H3" s="9" t="str">
        <f>VLOOKUP($H$1,LIST1,MATCH($G3,$A$1:$E$1,0),0)</f>
        <v>Savings</v>
      </c>
    </row>
    <row r="4" spans="1:8" ht="15.75" x14ac:dyDescent="0.25">
      <c r="A4" s="14">
        <v>5600003</v>
      </c>
      <c r="B4" s="15">
        <v>500</v>
      </c>
      <c r="C4" s="16" t="s">
        <v>75</v>
      </c>
      <c r="D4" s="16" t="s">
        <v>71</v>
      </c>
      <c r="E4" s="16" t="s">
        <v>72</v>
      </c>
      <c r="G4" s="12" t="s">
        <v>68</v>
      </c>
      <c r="H4" s="9" t="str">
        <f>VLOOKUP($H$1,LIST1,MATCH($G4,$A$1:$E$1,0),0)</f>
        <v>Westside</v>
      </c>
    </row>
    <row r="5" spans="1:8" ht="15.75" x14ac:dyDescent="0.25">
      <c r="A5" s="14">
        <v>5600004</v>
      </c>
      <c r="B5" s="15">
        <v>15000</v>
      </c>
      <c r="C5" s="16" t="s">
        <v>73</v>
      </c>
      <c r="D5" s="16" t="s">
        <v>71</v>
      </c>
      <c r="E5" s="16" t="s">
        <v>72</v>
      </c>
      <c r="G5" s="12" t="s">
        <v>69</v>
      </c>
      <c r="H5" s="9" t="str">
        <f>VLOOKUP($H$1,LIST1,MATCH($G5,$A$1:$E$1,0),0)</f>
        <v>Existing</v>
      </c>
    </row>
    <row r="6" spans="1:8" x14ac:dyDescent="0.25">
      <c r="A6" s="14">
        <v>5600005</v>
      </c>
      <c r="B6" s="15">
        <v>4623</v>
      </c>
      <c r="C6" s="16" t="s">
        <v>76</v>
      </c>
      <c r="D6" s="16" t="s">
        <v>77</v>
      </c>
      <c r="E6" s="16" t="s">
        <v>72</v>
      </c>
    </row>
    <row r="7" spans="1:8" x14ac:dyDescent="0.25">
      <c r="A7" s="14">
        <v>5600006</v>
      </c>
      <c r="B7" s="15">
        <v>8721</v>
      </c>
      <c r="C7" s="16" t="s">
        <v>76</v>
      </c>
      <c r="D7" s="16" t="s">
        <v>78</v>
      </c>
      <c r="E7" s="16" t="s">
        <v>74</v>
      </c>
    </row>
    <row r="8" spans="1:8" x14ac:dyDescent="0.25">
      <c r="A8" s="14">
        <v>5600007</v>
      </c>
      <c r="B8" s="15">
        <v>15276</v>
      </c>
      <c r="C8" s="16" t="s">
        <v>76</v>
      </c>
      <c r="D8" s="16" t="s">
        <v>77</v>
      </c>
      <c r="E8" s="16" t="s">
        <v>72</v>
      </c>
    </row>
    <row r="9" spans="1:8" x14ac:dyDescent="0.25">
      <c r="A9" s="14">
        <v>5600008</v>
      </c>
      <c r="B9" s="15">
        <v>5000</v>
      </c>
      <c r="C9" s="16" t="s">
        <v>76</v>
      </c>
      <c r="D9" s="16" t="s">
        <v>78</v>
      </c>
      <c r="E9" s="16" t="s">
        <v>72</v>
      </c>
    </row>
    <row r="10" spans="1:8" x14ac:dyDescent="0.25">
      <c r="A10" s="14">
        <v>5600009</v>
      </c>
      <c r="B10" s="15">
        <v>15759</v>
      </c>
      <c r="C10" s="16" t="s">
        <v>73</v>
      </c>
      <c r="D10" s="16" t="s">
        <v>78</v>
      </c>
      <c r="E10" s="16" t="s">
        <v>72</v>
      </c>
    </row>
    <row r="11" spans="1:8" x14ac:dyDescent="0.25">
      <c r="A11" s="14">
        <v>5600010</v>
      </c>
      <c r="B11" s="15">
        <v>12000</v>
      </c>
      <c r="C11" s="16" t="s">
        <v>73</v>
      </c>
      <c r="D11" s="16" t="s">
        <v>78</v>
      </c>
      <c r="E11" s="16" t="s">
        <v>72</v>
      </c>
    </row>
    <row r="12" spans="1:8" x14ac:dyDescent="0.25">
      <c r="A12" s="14">
        <v>5600011</v>
      </c>
      <c r="B12" s="15">
        <v>7177</v>
      </c>
      <c r="C12" s="16" t="s">
        <v>76</v>
      </c>
      <c r="D12" s="16" t="s">
        <v>77</v>
      </c>
      <c r="E12" s="16" t="s">
        <v>72</v>
      </c>
    </row>
    <row r="13" spans="1:8" x14ac:dyDescent="0.25">
      <c r="A13" s="14">
        <v>5600012</v>
      </c>
      <c r="B13" s="15">
        <v>6837</v>
      </c>
      <c r="C13" s="16" t="s">
        <v>76</v>
      </c>
      <c r="D13" s="16" t="s">
        <v>78</v>
      </c>
      <c r="E13" s="16" t="s">
        <v>72</v>
      </c>
    </row>
    <row r="14" spans="1:8" x14ac:dyDescent="0.25">
      <c r="A14" s="14">
        <v>5600013</v>
      </c>
      <c r="B14" s="15">
        <v>3171</v>
      </c>
      <c r="C14" s="16" t="s">
        <v>75</v>
      </c>
      <c r="D14" s="16" t="s">
        <v>78</v>
      </c>
      <c r="E14" s="16" t="s">
        <v>72</v>
      </c>
    </row>
    <row r="15" spans="1:8" x14ac:dyDescent="0.25">
      <c r="A15" s="14">
        <v>5600014</v>
      </c>
      <c r="B15" s="15">
        <v>50000</v>
      </c>
      <c r="C15" s="16" t="s">
        <v>76</v>
      </c>
      <c r="D15" s="16" t="s">
        <v>71</v>
      </c>
      <c r="E15" s="16" t="s">
        <v>72</v>
      </c>
    </row>
    <row r="16" spans="1:8" x14ac:dyDescent="0.25">
      <c r="A16" s="14">
        <v>5600015</v>
      </c>
      <c r="B16" s="15">
        <v>4690</v>
      </c>
      <c r="C16" s="16" t="s">
        <v>75</v>
      </c>
      <c r="D16" s="16" t="s">
        <v>77</v>
      </c>
      <c r="E16" s="16" t="s">
        <v>74</v>
      </c>
    </row>
    <row r="17" spans="1:5" x14ac:dyDescent="0.25">
      <c r="A17" s="14">
        <v>5600016</v>
      </c>
      <c r="B17" s="15">
        <v>12438</v>
      </c>
      <c r="C17" s="16" t="s">
        <v>75</v>
      </c>
      <c r="D17" s="16" t="s">
        <v>71</v>
      </c>
      <c r="E17" s="16" t="s">
        <v>72</v>
      </c>
    </row>
    <row r="18" spans="1:5" x14ac:dyDescent="0.25">
      <c r="A18" s="14">
        <v>5600017</v>
      </c>
      <c r="B18" s="15">
        <v>5000</v>
      </c>
      <c r="C18" s="16" t="s">
        <v>75</v>
      </c>
      <c r="D18" s="16" t="s">
        <v>77</v>
      </c>
      <c r="E18" s="16" t="s">
        <v>72</v>
      </c>
    </row>
  </sheetData>
  <dataValidations count="1">
    <dataValidation type="list" allowBlank="1" showInputMessage="1" showErrorMessage="1" sqref="H1" xr:uid="{8018EC2D-D886-467D-B730-5B58C8DA9D85}">
      <formula1>$A:$A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"/>
  <sheetViews>
    <sheetView zoomScale="130" zoomScaleNormal="130" workbookViewId="0">
      <selection activeCell="G29" sqref="G29"/>
    </sheetView>
  </sheetViews>
  <sheetFormatPr defaultRowHeight="15" x14ac:dyDescent="0.25"/>
  <cols>
    <col min="1" max="1" width="10.85546875" bestFit="1" customWidth="1"/>
    <col min="2" max="2" width="8.7109375" bestFit="1" customWidth="1"/>
    <col min="3" max="3" width="10.85546875" bestFit="1" customWidth="1"/>
    <col min="4" max="4" width="9.28515625" bestFit="1" customWidth="1"/>
    <col min="5" max="5" width="9" bestFit="1" customWidth="1"/>
    <col min="6" max="6" width="12.85546875" bestFit="1" customWidth="1"/>
    <col min="7" max="7" width="9.7109375" bestFit="1" customWidth="1"/>
    <col min="8" max="8" width="12.85546875" bestFit="1" customWidth="1"/>
    <col min="9" max="11" width="9.28515625" bestFit="1" customWidth="1"/>
    <col min="12" max="12" width="12.85546875" bestFit="1" customWidth="1"/>
    <col min="13" max="14" width="9.28515625" bestFit="1" customWidth="1"/>
    <col min="15" max="15" width="8.7109375" bestFit="1" customWidth="1"/>
    <col min="16" max="16" width="12.85546875" bestFit="1" customWidth="1"/>
    <col min="17" max="17" width="9" bestFit="1" customWidth="1"/>
    <col min="18" max="18" width="12.85546875" bestFit="1" customWidth="1"/>
  </cols>
  <sheetData>
    <row r="1" spans="1:18" ht="15.75" x14ac:dyDescent="0.25">
      <c r="A1" s="12" t="s">
        <v>66</v>
      </c>
      <c r="B1" s="14">
        <v>5600001</v>
      </c>
      <c r="C1" s="14">
        <v>5600002</v>
      </c>
      <c r="D1" s="14">
        <v>5600003</v>
      </c>
      <c r="E1" s="14">
        <v>5600004</v>
      </c>
      <c r="F1" s="14">
        <v>5600005</v>
      </c>
      <c r="G1" s="14">
        <v>5600006</v>
      </c>
      <c r="H1" s="14">
        <v>5600007</v>
      </c>
      <c r="I1" s="14">
        <v>5600008</v>
      </c>
      <c r="J1" s="14">
        <v>5600009</v>
      </c>
      <c r="K1" s="14">
        <v>5600010</v>
      </c>
      <c r="L1" s="14">
        <v>5600011</v>
      </c>
      <c r="M1" s="14">
        <v>5600012</v>
      </c>
      <c r="N1" s="14">
        <v>5600013</v>
      </c>
      <c r="O1" s="14">
        <v>5600014</v>
      </c>
      <c r="P1" s="14">
        <v>5600015</v>
      </c>
      <c r="Q1" s="14">
        <v>5600016</v>
      </c>
      <c r="R1" s="14">
        <v>5600017</v>
      </c>
    </row>
    <row r="2" spans="1:18" ht="15.75" x14ac:dyDescent="0.25">
      <c r="A2" s="13" t="s">
        <v>79</v>
      </c>
      <c r="B2" s="15">
        <v>5000</v>
      </c>
      <c r="C2" s="15">
        <v>14571</v>
      </c>
      <c r="D2" s="15">
        <v>500</v>
      </c>
      <c r="E2" s="15">
        <v>15000</v>
      </c>
      <c r="F2" s="15">
        <v>4623</v>
      </c>
      <c r="G2" s="15">
        <v>8721</v>
      </c>
      <c r="H2" s="15">
        <v>15276</v>
      </c>
      <c r="I2" s="15">
        <v>5000</v>
      </c>
      <c r="J2" s="15">
        <v>15759</v>
      </c>
      <c r="K2" s="15">
        <v>12000</v>
      </c>
      <c r="L2" s="15">
        <v>7177</v>
      </c>
      <c r="M2" s="15">
        <v>6837</v>
      </c>
      <c r="N2" s="15">
        <v>3171</v>
      </c>
      <c r="O2" s="15">
        <v>50000</v>
      </c>
      <c r="P2" s="15">
        <v>4690</v>
      </c>
      <c r="Q2" s="15">
        <v>12438</v>
      </c>
      <c r="R2" s="15">
        <v>5000</v>
      </c>
    </row>
    <row r="3" spans="1:18" ht="15.75" x14ac:dyDescent="0.25">
      <c r="A3" s="12" t="s">
        <v>67</v>
      </c>
      <c r="B3" s="16" t="s">
        <v>70</v>
      </c>
      <c r="C3" s="16" t="s">
        <v>73</v>
      </c>
      <c r="D3" s="16" t="s">
        <v>75</v>
      </c>
      <c r="E3" s="16" t="s">
        <v>73</v>
      </c>
      <c r="F3" s="16" t="s">
        <v>76</v>
      </c>
      <c r="G3" s="16" t="s">
        <v>76</v>
      </c>
      <c r="H3" s="16" t="s">
        <v>76</v>
      </c>
      <c r="I3" s="16" t="s">
        <v>76</v>
      </c>
      <c r="J3" s="16" t="s">
        <v>73</v>
      </c>
      <c r="K3" s="16" t="s">
        <v>73</v>
      </c>
      <c r="L3" s="16" t="s">
        <v>76</v>
      </c>
      <c r="M3" s="16" t="s">
        <v>76</v>
      </c>
      <c r="N3" s="16" t="s">
        <v>75</v>
      </c>
      <c r="O3" s="16" t="s">
        <v>76</v>
      </c>
      <c r="P3" s="16" t="s">
        <v>75</v>
      </c>
      <c r="Q3" s="16" t="s">
        <v>75</v>
      </c>
      <c r="R3" s="16" t="s">
        <v>75</v>
      </c>
    </row>
    <row r="4" spans="1:18" ht="15.75" x14ac:dyDescent="0.25">
      <c r="A4" s="12" t="s">
        <v>68</v>
      </c>
      <c r="B4" s="16" t="s">
        <v>71</v>
      </c>
      <c r="C4" s="16" t="s">
        <v>71</v>
      </c>
      <c r="D4" s="16" t="s">
        <v>71</v>
      </c>
      <c r="E4" s="16" t="s">
        <v>71</v>
      </c>
      <c r="F4" s="16" t="s">
        <v>77</v>
      </c>
      <c r="G4" s="16" t="s">
        <v>78</v>
      </c>
      <c r="H4" s="16" t="s">
        <v>77</v>
      </c>
      <c r="I4" s="16" t="s">
        <v>78</v>
      </c>
      <c r="J4" s="16" t="s">
        <v>78</v>
      </c>
      <c r="K4" s="16" t="s">
        <v>78</v>
      </c>
      <c r="L4" s="16" t="s">
        <v>77</v>
      </c>
      <c r="M4" s="16" t="s">
        <v>78</v>
      </c>
      <c r="N4" s="16" t="s">
        <v>78</v>
      </c>
      <c r="O4" s="16" t="s">
        <v>71</v>
      </c>
      <c r="P4" s="16" t="s">
        <v>77</v>
      </c>
      <c r="Q4" s="16" t="s">
        <v>71</v>
      </c>
      <c r="R4" s="16" t="s">
        <v>77</v>
      </c>
    </row>
    <row r="5" spans="1:18" ht="15.75" x14ac:dyDescent="0.25">
      <c r="A5" s="12" t="s">
        <v>69</v>
      </c>
      <c r="B5" s="16" t="s">
        <v>72</v>
      </c>
      <c r="C5" s="16" t="s">
        <v>74</v>
      </c>
      <c r="D5" s="16" t="s">
        <v>72</v>
      </c>
      <c r="E5" s="16" t="s">
        <v>72</v>
      </c>
      <c r="F5" s="16" t="s">
        <v>72</v>
      </c>
      <c r="G5" s="16" t="s">
        <v>74</v>
      </c>
      <c r="H5" s="16" t="s">
        <v>72</v>
      </c>
      <c r="I5" s="16" t="s">
        <v>72</v>
      </c>
      <c r="J5" s="16" t="s">
        <v>72</v>
      </c>
      <c r="K5" s="16" t="s">
        <v>72</v>
      </c>
      <c r="L5" s="16" t="s">
        <v>72</v>
      </c>
      <c r="M5" s="16" t="s">
        <v>72</v>
      </c>
      <c r="N5" s="16" t="s">
        <v>72</v>
      </c>
      <c r="O5" s="16" t="s">
        <v>72</v>
      </c>
      <c r="P5" s="16" t="s">
        <v>74</v>
      </c>
      <c r="Q5" s="16" t="s">
        <v>72</v>
      </c>
      <c r="R5" s="16" t="s">
        <v>72</v>
      </c>
    </row>
    <row r="8" spans="1:18" ht="15.75" x14ac:dyDescent="0.25">
      <c r="C8" s="12" t="s">
        <v>66</v>
      </c>
      <c r="D8" s="13" t="s">
        <v>79</v>
      </c>
      <c r="E8" s="12" t="s">
        <v>67</v>
      </c>
      <c r="F8" s="12" t="s">
        <v>68</v>
      </c>
      <c r="G8" s="12" t="s">
        <v>69</v>
      </c>
    </row>
    <row r="9" spans="1:18" x14ac:dyDescent="0.25">
      <c r="C9">
        <v>5600015</v>
      </c>
      <c r="D9">
        <f>HLOOKUP($C$9,$1:$5,MATCH(D$8,$C$8:$G$8,0),0)</f>
        <v>4690</v>
      </c>
      <c r="E9" t="str">
        <f>HLOOKUP($C$9,$1:$5,MATCH(E$8,$C$8:$G$8,0),0)</f>
        <v>Checking</v>
      </c>
      <c r="F9" t="str">
        <f>HLOOKUP($C$9,$1:$5,MATCH(F$8,$C$8:$G$8,0),0)</f>
        <v>North County</v>
      </c>
      <c r="G9" t="str">
        <f>HLOOKUP($C$9,$1:$5,MATCH(G$8,$C$8:$G$8,0),0)</f>
        <v>New</v>
      </c>
    </row>
  </sheetData>
  <dataValidations count="1">
    <dataValidation type="list" allowBlank="1" showInputMessage="1" showErrorMessage="1" sqref="C9" xr:uid="{0609735C-B7D8-4E15-9359-57E165B178C5}">
      <formula1>$1:$1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zoomScale="205" zoomScaleNormal="205" workbookViewId="0">
      <selection activeCell="G10" sqref="G10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28515625" bestFit="1" customWidth="1"/>
    <col min="5" max="5" width="17" bestFit="1" customWidth="1"/>
  </cols>
  <sheetData>
    <row r="1" spans="1:6" x14ac:dyDescent="0.25">
      <c r="A1" s="20" t="s">
        <v>80</v>
      </c>
      <c r="B1" s="20" t="s">
        <v>81</v>
      </c>
      <c r="C1" s="21" t="s">
        <v>82</v>
      </c>
      <c r="E1" s="1" t="s">
        <v>84</v>
      </c>
      <c r="F1">
        <f>SUMIF($B$2:$B$13,E1,$C$2:$C$13)</f>
        <v>104000</v>
      </c>
    </row>
    <row r="2" spans="1:6" x14ac:dyDescent="0.25">
      <c r="A2" s="1" t="s">
        <v>83</v>
      </c>
      <c r="B2" s="1" t="s">
        <v>84</v>
      </c>
      <c r="C2" s="19">
        <v>15000</v>
      </c>
      <c r="E2" s="1" t="s">
        <v>86</v>
      </c>
      <c r="F2">
        <f t="shared" ref="F2:F3" si="0">SUMIF($B$2:$B$13,E2,$C$2:$C$13)</f>
        <v>102000</v>
      </c>
    </row>
    <row r="3" spans="1:6" x14ac:dyDescent="0.25">
      <c r="A3" s="1" t="s">
        <v>85</v>
      </c>
      <c r="B3" s="1" t="s">
        <v>86</v>
      </c>
      <c r="C3" s="19">
        <v>15000</v>
      </c>
      <c r="E3" s="1" t="s">
        <v>88</v>
      </c>
      <c r="F3">
        <f t="shared" si="0"/>
        <v>49000</v>
      </c>
    </row>
    <row r="4" spans="1:6" x14ac:dyDescent="0.25">
      <c r="A4" s="1" t="s">
        <v>87</v>
      </c>
      <c r="B4" s="1" t="s">
        <v>88</v>
      </c>
      <c r="C4" s="19">
        <v>12000</v>
      </c>
    </row>
    <row r="5" spans="1:6" x14ac:dyDescent="0.25">
      <c r="A5" s="1" t="s">
        <v>89</v>
      </c>
      <c r="B5" s="1" t="s">
        <v>84</v>
      </c>
      <c r="C5" s="19">
        <v>12000</v>
      </c>
    </row>
    <row r="6" spans="1:6" x14ac:dyDescent="0.25">
      <c r="A6" s="1" t="s">
        <v>90</v>
      </c>
      <c r="B6" s="1" t="s">
        <v>84</v>
      </c>
      <c r="C6" s="19">
        <v>15000</v>
      </c>
    </row>
    <row r="7" spans="1:6" x14ac:dyDescent="0.25">
      <c r="A7" s="1" t="s">
        <v>91</v>
      </c>
      <c r="B7" s="1" t="s">
        <v>86</v>
      </c>
      <c r="C7" s="19">
        <v>12000</v>
      </c>
    </row>
    <row r="8" spans="1:6" x14ac:dyDescent="0.25">
      <c r="A8" s="1" t="s">
        <v>92</v>
      </c>
      <c r="B8" s="1" t="s">
        <v>88</v>
      </c>
      <c r="C8" s="19">
        <v>12000</v>
      </c>
    </row>
    <row r="9" spans="1:6" x14ac:dyDescent="0.25">
      <c r="A9" s="1" t="s">
        <v>93</v>
      </c>
      <c r="B9" s="1" t="s">
        <v>84</v>
      </c>
      <c r="C9" s="19">
        <v>15000</v>
      </c>
      <c r="E9">
        <f>SUMIF($B$2:$B$13,$E$1,$C$2:$C$13)</f>
        <v>104000</v>
      </c>
    </row>
    <row r="10" spans="1:6" x14ac:dyDescent="0.25">
      <c r="A10" s="1" t="s">
        <v>94</v>
      </c>
      <c r="B10" s="1" t="s">
        <v>84</v>
      </c>
      <c r="C10" s="19">
        <v>12000</v>
      </c>
      <c r="E10">
        <f>SUMIF($B$2:$B$13,$E$2,$C$2:$C$13)</f>
        <v>102000</v>
      </c>
    </row>
    <row r="11" spans="1:6" x14ac:dyDescent="0.25">
      <c r="A11" s="1" t="s">
        <v>95</v>
      </c>
      <c r="B11" s="1" t="s">
        <v>86</v>
      </c>
      <c r="C11" s="19">
        <v>75000</v>
      </c>
      <c r="E11">
        <f>SUMIF($B$2:$B$13,$E$3,$C$2:$C$13)</f>
        <v>49000</v>
      </c>
    </row>
    <row r="12" spans="1:6" x14ac:dyDescent="0.25">
      <c r="A12" s="1" t="s">
        <v>96</v>
      </c>
      <c r="B12" s="1" t="s">
        <v>88</v>
      </c>
      <c r="C12" s="18">
        <v>25000</v>
      </c>
    </row>
    <row r="13" spans="1:6" x14ac:dyDescent="0.25">
      <c r="A13" s="1" t="s">
        <v>97</v>
      </c>
      <c r="B13" s="1" t="s">
        <v>84</v>
      </c>
      <c r="C13" s="18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zoomScale="200" zoomScaleNormal="200" workbookViewId="0">
      <selection activeCell="E7" sqref="E7"/>
    </sheetView>
  </sheetViews>
  <sheetFormatPr defaultRowHeight="15" x14ac:dyDescent="0.25"/>
  <cols>
    <col min="1" max="1" width="11" bestFit="1" customWidth="1"/>
    <col min="2" max="2" width="15" bestFit="1" customWidth="1"/>
    <col min="3" max="3" width="12.140625" bestFit="1" customWidth="1"/>
    <col min="4" max="4" width="8.140625" bestFit="1" customWidth="1"/>
    <col min="6" max="6" width="10.28515625" bestFit="1" customWidth="1"/>
  </cols>
  <sheetData>
    <row r="1" spans="1:7" x14ac:dyDescent="0.25">
      <c r="A1" s="23" t="s">
        <v>98</v>
      </c>
      <c r="B1" s="23" t="s">
        <v>99</v>
      </c>
      <c r="C1" s="23" t="s">
        <v>100</v>
      </c>
      <c r="D1" s="23" t="s">
        <v>79</v>
      </c>
      <c r="F1" s="24" t="s">
        <v>106</v>
      </c>
      <c r="G1" s="23" t="s">
        <v>104</v>
      </c>
    </row>
    <row r="2" spans="1:7" x14ac:dyDescent="0.25">
      <c r="A2" s="22">
        <v>43739</v>
      </c>
      <c r="B2" s="1" t="s">
        <v>101</v>
      </c>
      <c r="C2" s="1" t="s">
        <v>104</v>
      </c>
      <c r="D2" s="1">
        <v>5000</v>
      </c>
      <c r="F2" s="1" t="s">
        <v>103</v>
      </c>
      <c r="G2" s="1">
        <f>SUMIFS($D$2:$D$13,$B$2:$B$13,$F2,$C$2:$C$13,G$1)</f>
        <v>11510</v>
      </c>
    </row>
    <row r="3" spans="1:7" x14ac:dyDescent="0.25">
      <c r="A3" s="22">
        <v>43740</v>
      </c>
      <c r="B3" s="1" t="s">
        <v>102</v>
      </c>
      <c r="C3" s="1" t="s">
        <v>105</v>
      </c>
      <c r="D3" s="1">
        <v>6000</v>
      </c>
    </row>
    <row r="4" spans="1:7" x14ac:dyDescent="0.25">
      <c r="A4" s="22">
        <v>43741</v>
      </c>
      <c r="B4" s="1" t="s">
        <v>101</v>
      </c>
      <c r="C4" s="1" t="s">
        <v>104</v>
      </c>
      <c r="D4" s="1">
        <v>4500</v>
      </c>
    </row>
    <row r="5" spans="1:7" x14ac:dyDescent="0.25">
      <c r="A5" s="22">
        <v>43742</v>
      </c>
      <c r="B5" s="1" t="s">
        <v>102</v>
      </c>
      <c r="C5" s="1" t="s">
        <v>104</v>
      </c>
      <c r="D5" s="1">
        <v>6500</v>
      </c>
    </row>
    <row r="6" spans="1:7" x14ac:dyDescent="0.25">
      <c r="A6" s="22">
        <v>43743</v>
      </c>
      <c r="B6" s="1" t="s">
        <v>101</v>
      </c>
      <c r="C6" s="1" t="s">
        <v>105</v>
      </c>
      <c r="D6" s="1">
        <v>4500</v>
      </c>
    </row>
    <row r="7" spans="1:7" x14ac:dyDescent="0.25">
      <c r="A7" s="22">
        <v>43744</v>
      </c>
      <c r="B7" s="1" t="s">
        <v>103</v>
      </c>
      <c r="C7" s="1" t="s">
        <v>104</v>
      </c>
      <c r="D7" s="1">
        <v>6000</v>
      </c>
    </row>
    <row r="8" spans="1:7" x14ac:dyDescent="0.25">
      <c r="A8" s="22">
        <v>43745</v>
      </c>
      <c r="B8" s="1" t="s">
        <v>102</v>
      </c>
      <c r="C8" s="1" t="s">
        <v>105</v>
      </c>
      <c r="D8" s="1">
        <v>4500</v>
      </c>
    </row>
    <row r="9" spans="1:7" x14ac:dyDescent="0.25">
      <c r="A9" s="22">
        <v>43746</v>
      </c>
      <c r="B9" s="1" t="s">
        <v>102</v>
      </c>
      <c r="C9" s="1" t="s">
        <v>105</v>
      </c>
      <c r="D9" s="1">
        <v>600</v>
      </c>
    </row>
    <row r="10" spans="1:7" x14ac:dyDescent="0.25">
      <c r="A10" s="22">
        <v>43747</v>
      </c>
      <c r="B10" s="1" t="s">
        <v>103</v>
      </c>
      <c r="C10" s="1" t="s">
        <v>104</v>
      </c>
      <c r="D10" s="1">
        <v>1500</v>
      </c>
    </row>
    <row r="11" spans="1:7" x14ac:dyDescent="0.25">
      <c r="A11" s="22">
        <v>43748</v>
      </c>
      <c r="B11" s="1" t="s">
        <v>103</v>
      </c>
      <c r="C11" s="1" t="s">
        <v>104</v>
      </c>
      <c r="D11" s="1">
        <v>1450</v>
      </c>
    </row>
    <row r="12" spans="1:7" x14ac:dyDescent="0.25">
      <c r="A12" s="22">
        <v>43749</v>
      </c>
      <c r="B12" s="1" t="s">
        <v>101</v>
      </c>
      <c r="C12" s="1" t="s">
        <v>105</v>
      </c>
      <c r="D12" s="1">
        <v>650</v>
      </c>
    </row>
    <row r="13" spans="1:7" x14ac:dyDescent="0.25">
      <c r="A13" s="22">
        <v>43750</v>
      </c>
      <c r="B13" s="1" t="s">
        <v>103</v>
      </c>
      <c r="C13" s="1" t="s">
        <v>104</v>
      </c>
      <c r="D13" s="1">
        <v>2560</v>
      </c>
    </row>
    <row r="15" spans="1:7" x14ac:dyDescent="0.25">
      <c r="B15" t="str" cm="1">
        <f t="array" ref="B15:B17">_xlfn.UNIQUE(B4:B13)</f>
        <v>Online</v>
      </c>
      <c r="C15" t="str" cm="1">
        <f t="array" ref="C15:C16">_xlfn.UNIQUE(C4:C13)</f>
        <v>Debit</v>
      </c>
    </row>
    <row r="16" spans="1:7" x14ac:dyDescent="0.25">
      <c r="B16" t="str">
        <v>Cash</v>
      </c>
      <c r="C16" t="str">
        <v>Credit</v>
      </c>
    </row>
    <row r="17" spans="2:2" x14ac:dyDescent="0.25">
      <c r="B17" t="str">
        <v>Debit Card</v>
      </c>
    </row>
  </sheetData>
  <dataValidations count="2">
    <dataValidation type="list" allowBlank="1" showInputMessage="1" showErrorMessage="1" sqref="F2" xr:uid="{6B6DE704-9749-4332-9B26-6DC70D383A53}">
      <formula1>$B$15:$B$17</formula1>
    </dataValidation>
    <dataValidation type="list" allowBlank="1" showInputMessage="1" showErrorMessage="1" sqref="G1" xr:uid="{1DA1C023-C72D-49DD-8124-BDD8C7B03DF1}">
      <formula1>$C$15:$C$16</formula1>
    </dataValidation>
  </dataValidation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200" zoomScaleNormal="200" workbookViewId="0">
      <selection activeCell="F15" sqref="F15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7" width="10.28515625" bestFit="1" customWidth="1"/>
  </cols>
  <sheetData>
    <row r="1" spans="1:8" x14ac:dyDescent="0.25">
      <c r="A1" s="23" t="s">
        <v>98</v>
      </c>
      <c r="B1" s="23" t="s">
        <v>99</v>
      </c>
      <c r="C1" s="23" t="s">
        <v>100</v>
      </c>
      <c r="D1" s="23" t="s">
        <v>79</v>
      </c>
      <c r="F1" s="24" t="s">
        <v>106</v>
      </c>
      <c r="G1" s="23" t="s">
        <v>159</v>
      </c>
      <c r="H1" s="23"/>
    </row>
    <row r="2" spans="1:8" x14ac:dyDescent="0.25">
      <c r="A2" s="22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>
        <f>COUNTIF($B$2:$B$13,F2)</f>
        <v>4</v>
      </c>
    </row>
    <row r="3" spans="1:8" x14ac:dyDescent="0.25">
      <c r="A3" s="22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>
        <f t="shared" ref="G3:G4" si="0">COUNTIF($B$2:$B$13,F3)</f>
        <v>4</v>
      </c>
    </row>
    <row r="4" spans="1:8" x14ac:dyDescent="0.25">
      <c r="A4" s="22">
        <v>43741</v>
      </c>
      <c r="B4" s="1" t="s">
        <v>101</v>
      </c>
      <c r="C4" s="1" t="s">
        <v>104</v>
      </c>
      <c r="D4" s="1">
        <v>4500</v>
      </c>
      <c r="F4" s="1" t="s">
        <v>103</v>
      </c>
      <c r="G4">
        <f t="shared" si="0"/>
        <v>4</v>
      </c>
    </row>
    <row r="5" spans="1:8" x14ac:dyDescent="0.25">
      <c r="A5" s="22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2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2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2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2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2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2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2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2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200" zoomScaleNormal="200" workbookViewId="0">
      <selection activeCell="H5" sqref="H5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3" t="s">
        <v>98</v>
      </c>
      <c r="B1" s="23" t="s">
        <v>99</v>
      </c>
      <c r="C1" s="23" t="s">
        <v>100</v>
      </c>
      <c r="D1" s="23" t="s">
        <v>79</v>
      </c>
      <c r="F1" s="24" t="s">
        <v>106</v>
      </c>
      <c r="G1" s="23" t="s">
        <v>104</v>
      </c>
      <c r="H1" s="23" t="s">
        <v>105</v>
      </c>
    </row>
    <row r="2" spans="1:8" x14ac:dyDescent="0.25">
      <c r="A2" s="22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>
        <f>COUNTIFS($B$2:$B$13,$F2,$C$2:$C$13,G$1)</f>
        <v>2</v>
      </c>
      <c r="H2">
        <f>COUNTIFS($B$2:$B$13,$F2,$C$2:$C$13,H$1)</f>
        <v>2</v>
      </c>
    </row>
    <row r="3" spans="1:8" x14ac:dyDescent="0.25">
      <c r="A3" s="22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>
        <f t="shared" ref="G3:H4" si="0">COUNTIFS($B$2:$B$13,$F3,$C$2:$C$13,G$1)</f>
        <v>1</v>
      </c>
      <c r="H3">
        <f t="shared" si="0"/>
        <v>3</v>
      </c>
    </row>
    <row r="4" spans="1:8" x14ac:dyDescent="0.25">
      <c r="A4" s="22">
        <v>43741</v>
      </c>
      <c r="B4" s="1" t="s">
        <v>101</v>
      </c>
      <c r="C4" s="1" t="s">
        <v>104</v>
      </c>
      <c r="D4" s="1">
        <v>4500</v>
      </c>
      <c r="F4" s="1" t="s">
        <v>158</v>
      </c>
      <c r="G4">
        <f t="shared" si="0"/>
        <v>4</v>
      </c>
      <c r="H4">
        <f t="shared" si="0"/>
        <v>0</v>
      </c>
    </row>
    <row r="5" spans="1:8" x14ac:dyDescent="0.25">
      <c r="A5" s="22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2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2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2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2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2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2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2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2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X15"/>
  <sheetViews>
    <sheetView topLeftCell="B2" zoomScale="200" zoomScaleNormal="200" workbookViewId="0">
      <selection activeCell="W15" sqref="W15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3:24" ht="15.75" thickBot="1" x14ac:dyDescent="0.3"/>
    <row r="2" spans="3:24" ht="15.75" thickBot="1" x14ac:dyDescent="0.3">
      <c r="C2" s="47" t="s">
        <v>107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9"/>
    </row>
    <row r="3" spans="3:24" x14ac:dyDescent="0.25">
      <c r="C3" s="25" t="s">
        <v>112</v>
      </c>
      <c r="D3" s="25" t="s">
        <v>112</v>
      </c>
      <c r="E3" s="25" t="s">
        <v>112</v>
      </c>
      <c r="F3" s="25" t="s">
        <v>112</v>
      </c>
      <c r="G3" s="25" t="s">
        <v>112</v>
      </c>
      <c r="H3" s="25" t="s">
        <v>112</v>
      </c>
      <c r="I3" s="25" t="s">
        <v>112</v>
      </c>
      <c r="J3" s="25" t="s">
        <v>112</v>
      </c>
      <c r="K3" s="25" t="s">
        <v>112</v>
      </c>
      <c r="L3" s="25" t="s">
        <v>112</v>
      </c>
      <c r="M3" s="25" t="s">
        <v>112</v>
      </c>
      <c r="N3" s="25" t="s">
        <v>112</v>
      </c>
      <c r="O3" s="25" t="s">
        <v>112</v>
      </c>
      <c r="P3" s="25" t="s">
        <v>112</v>
      </c>
      <c r="Q3" s="25" t="s">
        <v>112</v>
      </c>
      <c r="R3" s="25" t="s">
        <v>112</v>
      </c>
      <c r="S3" s="25" t="s">
        <v>112</v>
      </c>
      <c r="T3" s="25" t="s">
        <v>112</v>
      </c>
      <c r="U3" s="25" t="s">
        <v>112</v>
      </c>
      <c r="W3" t="s">
        <v>108</v>
      </c>
      <c r="X3">
        <f>COUNTA(C3:U15)</f>
        <v>136</v>
      </c>
    </row>
    <row r="4" spans="3:24" x14ac:dyDescent="0.25">
      <c r="C4" s="2" t="s">
        <v>113</v>
      </c>
      <c r="D4" s="2" t="s">
        <v>113</v>
      </c>
      <c r="E4" s="2" t="s">
        <v>113</v>
      </c>
      <c r="F4" s="2" t="s">
        <v>113</v>
      </c>
      <c r="G4" s="2"/>
      <c r="H4" s="2"/>
      <c r="I4" s="2"/>
      <c r="J4" s="2"/>
      <c r="K4" s="2" t="s">
        <v>113</v>
      </c>
      <c r="L4" s="2" t="s">
        <v>113</v>
      </c>
      <c r="M4" s="2" t="s">
        <v>113</v>
      </c>
      <c r="N4" s="2"/>
      <c r="O4" s="2"/>
      <c r="P4" s="2"/>
      <c r="Q4" s="2"/>
      <c r="R4" s="2"/>
      <c r="S4" s="2" t="s">
        <v>113</v>
      </c>
      <c r="T4" s="2" t="s">
        <v>113</v>
      </c>
      <c r="U4" s="2" t="s">
        <v>113</v>
      </c>
      <c r="W4" t="s">
        <v>109</v>
      </c>
      <c r="X4">
        <f>COUNTBLANK(C3:U15)</f>
        <v>111</v>
      </c>
    </row>
    <row r="5" spans="3:24" x14ac:dyDescent="0.25">
      <c r="C5" s="2" t="s">
        <v>112</v>
      </c>
      <c r="D5" s="2" t="s">
        <v>112</v>
      </c>
      <c r="E5" s="2" t="s">
        <v>112</v>
      </c>
      <c r="F5" s="2" t="s">
        <v>112</v>
      </c>
      <c r="G5" s="2"/>
      <c r="H5" s="2"/>
      <c r="I5" s="2"/>
      <c r="J5" s="2"/>
      <c r="K5" s="2" t="s">
        <v>112</v>
      </c>
      <c r="L5" s="2" t="s">
        <v>112</v>
      </c>
      <c r="M5" s="2" t="s">
        <v>112</v>
      </c>
      <c r="N5" s="2"/>
      <c r="O5" s="2" t="s">
        <v>113</v>
      </c>
      <c r="P5" s="2"/>
      <c r="Q5" s="2"/>
      <c r="R5" s="2"/>
      <c r="S5" s="2" t="s">
        <v>112</v>
      </c>
      <c r="T5" s="2" t="s">
        <v>112</v>
      </c>
      <c r="U5" s="2" t="s">
        <v>112</v>
      </c>
    </row>
    <row r="6" spans="3:24" x14ac:dyDescent="0.25">
      <c r="C6" s="2" t="s">
        <v>113</v>
      </c>
      <c r="D6" s="2" t="s">
        <v>113</v>
      </c>
      <c r="E6" s="2" t="s">
        <v>113</v>
      </c>
      <c r="F6" s="2" t="s">
        <v>113</v>
      </c>
      <c r="G6" s="2"/>
      <c r="H6" s="2"/>
      <c r="I6" s="2"/>
      <c r="J6" s="2"/>
      <c r="K6" s="2" t="s">
        <v>113</v>
      </c>
      <c r="L6" s="2" t="s">
        <v>113</v>
      </c>
      <c r="M6" s="2" t="s">
        <v>113</v>
      </c>
      <c r="N6" s="2"/>
      <c r="O6" s="2" t="s">
        <v>112</v>
      </c>
      <c r="P6" s="2"/>
      <c r="Q6" s="2" t="s">
        <v>113</v>
      </c>
      <c r="R6" s="2"/>
      <c r="S6" s="2"/>
      <c r="T6" s="2" t="s">
        <v>113</v>
      </c>
      <c r="U6" s="2" t="s">
        <v>113</v>
      </c>
      <c r="W6" t="s">
        <v>110</v>
      </c>
      <c r="X6">
        <f>COUNTIF(C3:$U$15,"M")</f>
        <v>55</v>
      </c>
    </row>
    <row r="7" spans="3:24" x14ac:dyDescent="0.25">
      <c r="C7" s="2" t="s">
        <v>112</v>
      </c>
      <c r="D7" s="2" t="s">
        <v>112</v>
      </c>
      <c r="E7" s="2" t="s">
        <v>112</v>
      </c>
      <c r="F7" s="2" t="s">
        <v>112</v>
      </c>
      <c r="G7" s="2"/>
      <c r="H7" s="2"/>
      <c r="I7" s="2"/>
      <c r="J7" s="2"/>
      <c r="K7" s="2" t="s">
        <v>112</v>
      </c>
      <c r="L7" s="2"/>
      <c r="M7" s="2"/>
      <c r="N7" s="2"/>
      <c r="O7" s="2"/>
      <c r="P7" s="2"/>
      <c r="Q7" s="2" t="s">
        <v>112</v>
      </c>
      <c r="R7" s="2"/>
      <c r="S7" s="2"/>
      <c r="T7" s="2" t="s">
        <v>112</v>
      </c>
      <c r="U7" s="2" t="s">
        <v>112</v>
      </c>
      <c r="W7" t="s">
        <v>111</v>
      </c>
      <c r="X7">
        <f>COUNTIF(C4:$U$15,"F")</f>
        <v>62</v>
      </c>
    </row>
    <row r="8" spans="3:24" x14ac:dyDescent="0.25">
      <c r="C8" s="2" t="s">
        <v>112</v>
      </c>
      <c r="D8" s="2" t="s">
        <v>112</v>
      </c>
      <c r="E8" s="2" t="s">
        <v>112</v>
      </c>
      <c r="F8" s="2" t="s">
        <v>112</v>
      </c>
      <c r="G8" s="2" t="s">
        <v>112</v>
      </c>
      <c r="H8" s="2" t="s">
        <v>112</v>
      </c>
      <c r="I8" s="2" t="s">
        <v>112</v>
      </c>
      <c r="J8" s="2" t="s">
        <v>112</v>
      </c>
      <c r="K8" s="2" t="s">
        <v>112</v>
      </c>
      <c r="L8" s="2"/>
      <c r="M8" s="2"/>
      <c r="N8" s="2"/>
      <c r="O8" s="2"/>
      <c r="P8" s="2" t="s">
        <v>112</v>
      </c>
      <c r="Q8" s="2" t="s">
        <v>112</v>
      </c>
      <c r="R8" s="2"/>
      <c r="S8" s="2"/>
      <c r="T8" s="2" t="s">
        <v>112</v>
      </c>
      <c r="U8" s="2" t="s">
        <v>112</v>
      </c>
    </row>
    <row r="9" spans="3:24" x14ac:dyDescent="0.25">
      <c r="C9" s="2" t="s">
        <v>112</v>
      </c>
      <c r="D9" s="2" t="s">
        <v>112</v>
      </c>
      <c r="E9" s="2" t="s">
        <v>112</v>
      </c>
      <c r="F9" s="2" t="s">
        <v>112</v>
      </c>
      <c r="G9" s="2" t="s">
        <v>112</v>
      </c>
      <c r="H9" s="2" t="s">
        <v>112</v>
      </c>
      <c r="I9" s="2" t="s">
        <v>112</v>
      </c>
      <c r="J9" s="2" t="s">
        <v>112</v>
      </c>
      <c r="K9" s="2" t="s">
        <v>112</v>
      </c>
      <c r="L9" s="2"/>
      <c r="M9" s="2"/>
      <c r="N9" s="2"/>
      <c r="O9" s="2"/>
      <c r="P9" s="2" t="s">
        <v>112</v>
      </c>
      <c r="Q9" s="2" t="s">
        <v>112</v>
      </c>
      <c r="R9" s="2"/>
      <c r="S9" s="2"/>
      <c r="T9" s="2" t="s">
        <v>112</v>
      </c>
      <c r="U9" s="2" t="s">
        <v>112</v>
      </c>
    </row>
    <row r="10" spans="3:24" x14ac:dyDescent="0.25">
      <c r="C10" s="2" t="s">
        <v>112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112</v>
      </c>
      <c r="J10" s="2" t="s">
        <v>112</v>
      </c>
      <c r="K10" s="2" t="s">
        <v>112</v>
      </c>
      <c r="L10" s="2" t="s">
        <v>112</v>
      </c>
      <c r="M10" s="2" t="s">
        <v>112</v>
      </c>
      <c r="N10" s="2" t="s">
        <v>112</v>
      </c>
      <c r="O10" s="2" t="s">
        <v>112</v>
      </c>
      <c r="P10" s="2" t="s">
        <v>112</v>
      </c>
      <c r="Q10" s="2" t="s">
        <v>112</v>
      </c>
      <c r="R10" s="2"/>
      <c r="S10" s="2"/>
      <c r="T10" s="2" t="s">
        <v>112</v>
      </c>
      <c r="U10" s="2" t="s">
        <v>112</v>
      </c>
    </row>
    <row r="11" spans="3:24" x14ac:dyDescent="0.25">
      <c r="C11" s="2" t="s">
        <v>113</v>
      </c>
      <c r="D11" s="2" t="s">
        <v>113</v>
      </c>
      <c r="E11" s="2"/>
      <c r="F11" s="2"/>
      <c r="G11" s="2"/>
      <c r="H11" s="2"/>
      <c r="I11" s="2"/>
      <c r="J11" s="2"/>
      <c r="K11" s="2"/>
      <c r="L11" s="2" t="s">
        <v>113</v>
      </c>
      <c r="M11" s="2" t="s">
        <v>113</v>
      </c>
      <c r="N11" s="2" t="s">
        <v>113</v>
      </c>
      <c r="O11" s="2" t="s">
        <v>113</v>
      </c>
      <c r="P11" s="2" t="s">
        <v>113</v>
      </c>
      <c r="Q11" s="2" t="s">
        <v>113</v>
      </c>
      <c r="R11" s="2"/>
      <c r="S11" s="2"/>
      <c r="T11" s="2" t="s">
        <v>113</v>
      </c>
      <c r="U11" s="2" t="s">
        <v>113</v>
      </c>
    </row>
    <row r="12" spans="3:24" x14ac:dyDescent="0.25">
      <c r="C12" s="2" t="s">
        <v>113</v>
      </c>
      <c r="D12" s="2" t="s">
        <v>113</v>
      </c>
      <c r="E12" s="2"/>
      <c r="F12" s="2"/>
      <c r="G12" s="2"/>
      <c r="H12" s="2"/>
      <c r="I12" s="2"/>
      <c r="J12" s="2"/>
      <c r="K12" s="2"/>
      <c r="L12" s="2" t="s">
        <v>113</v>
      </c>
      <c r="M12" s="2" t="s">
        <v>113</v>
      </c>
      <c r="N12" s="2"/>
      <c r="O12" s="2"/>
      <c r="P12" s="2"/>
      <c r="Q12" s="2"/>
      <c r="R12" s="2"/>
      <c r="S12" s="2"/>
      <c r="T12" s="2" t="s">
        <v>113</v>
      </c>
      <c r="U12" s="2" t="s">
        <v>113</v>
      </c>
    </row>
    <row r="13" spans="3:24" x14ac:dyDescent="0.25">
      <c r="C13" s="2" t="s">
        <v>113</v>
      </c>
      <c r="D13" s="2" t="s">
        <v>113</v>
      </c>
      <c r="E13" s="2"/>
      <c r="F13" s="2"/>
      <c r="G13" s="2"/>
      <c r="H13" s="2"/>
      <c r="I13" s="2"/>
      <c r="J13" s="2"/>
      <c r="K13" s="2"/>
      <c r="L13" s="2" t="s">
        <v>113</v>
      </c>
      <c r="M13" s="2" t="s">
        <v>113</v>
      </c>
      <c r="N13" s="2"/>
      <c r="O13" s="2"/>
      <c r="P13" s="2"/>
      <c r="Q13" s="2"/>
      <c r="R13" s="2"/>
      <c r="S13" s="2"/>
      <c r="T13" s="2" t="s">
        <v>113</v>
      </c>
      <c r="U13" s="2" t="s">
        <v>113</v>
      </c>
    </row>
    <row r="14" spans="3:24" x14ac:dyDescent="0.25">
      <c r="C14" s="2" t="s">
        <v>113</v>
      </c>
      <c r="D14" s="2" t="s">
        <v>113</v>
      </c>
      <c r="E14" s="2"/>
      <c r="F14" s="2"/>
      <c r="G14" s="2"/>
      <c r="H14" s="2"/>
      <c r="I14" s="2"/>
      <c r="J14" s="2"/>
      <c r="K14" s="2"/>
      <c r="L14" s="2" t="s">
        <v>113</v>
      </c>
      <c r="M14" s="2" t="s">
        <v>113</v>
      </c>
      <c r="N14" s="2"/>
      <c r="O14" s="2"/>
      <c r="P14" s="2"/>
      <c r="Q14" s="2"/>
      <c r="R14" s="2"/>
      <c r="S14" s="2"/>
      <c r="T14" s="2" t="s">
        <v>113</v>
      </c>
      <c r="U14" s="2" t="s">
        <v>113</v>
      </c>
    </row>
    <row r="15" spans="3:24" x14ac:dyDescent="0.25">
      <c r="C15" s="2" t="s">
        <v>113</v>
      </c>
      <c r="D15" s="2" t="s">
        <v>113</v>
      </c>
      <c r="E15" s="2"/>
      <c r="F15" s="2"/>
      <c r="G15" s="2"/>
      <c r="H15" s="2"/>
      <c r="I15" s="2"/>
      <c r="J15" s="2"/>
      <c r="K15" s="2"/>
      <c r="L15" s="2" t="s">
        <v>113</v>
      </c>
      <c r="M15" s="2" t="s">
        <v>113</v>
      </c>
      <c r="N15" s="2"/>
      <c r="O15" s="2"/>
      <c r="P15" s="2"/>
      <c r="Q15" s="2"/>
      <c r="R15" s="2"/>
      <c r="S15" s="2"/>
      <c r="T15" s="2" t="s">
        <v>113</v>
      </c>
      <c r="U15" s="2" t="s">
        <v>113</v>
      </c>
    </row>
  </sheetData>
  <mergeCells count="1">
    <mergeCell ref="C2:U2"/>
  </mergeCells>
  <conditionalFormatting sqref="C3:U15">
    <cfRule type="containsText" dxfId="1" priority="1" operator="containsText" text="M">
      <formula>NOT(ISERROR(SEARCH("M",C3)))</formula>
    </cfRule>
    <cfRule type="containsText" dxfId="0" priority="2" operator="containsText" text="F">
      <formula>NOT(ISERROR(SEARCH("F",C3)))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zoomScale="200" zoomScaleNormal="200" workbookViewId="0">
      <selection activeCell="C14" sqref="C1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3" t="s">
        <v>98</v>
      </c>
      <c r="B1" s="23" t="s">
        <v>99</v>
      </c>
      <c r="C1" s="23" t="s">
        <v>100</v>
      </c>
      <c r="D1" s="23" t="s">
        <v>79</v>
      </c>
      <c r="F1" s="24" t="s">
        <v>106</v>
      </c>
      <c r="G1" s="23" t="s">
        <v>104</v>
      </c>
      <c r="H1" s="23" t="s">
        <v>105</v>
      </c>
    </row>
    <row r="2" spans="1:8" x14ac:dyDescent="0.25">
      <c r="A2" s="22">
        <v>43739</v>
      </c>
      <c r="B2" s="1" t="s">
        <v>101</v>
      </c>
      <c r="C2" s="1" t="s">
        <v>104</v>
      </c>
      <c r="D2" s="1">
        <v>5000</v>
      </c>
      <c r="F2" s="23" t="s">
        <v>101</v>
      </c>
      <c r="G2" s="39">
        <f>IFERROR(AVERAGEIFS($D$2:$D$13,$B$2:$B$13,$F2,$C$2:$C$13,G$1),"N/A")</f>
        <v>4750</v>
      </c>
      <c r="H2" s="39">
        <f>IFERROR(AVERAGEIFS($D$2:$D$13,$B$2:$B$13,$F2,$C$2:$C$13,H$1),"N/A")</f>
        <v>2575</v>
      </c>
    </row>
    <row r="3" spans="1:8" x14ac:dyDescent="0.25">
      <c r="A3" s="22">
        <v>43740</v>
      </c>
      <c r="B3" s="1" t="s">
        <v>102</v>
      </c>
      <c r="C3" s="1" t="s">
        <v>105</v>
      </c>
      <c r="D3" s="1">
        <v>6000</v>
      </c>
      <c r="F3" s="23" t="s">
        <v>102</v>
      </c>
      <c r="G3" s="39">
        <f t="shared" ref="G3:H4" si="0">IFERROR(AVERAGEIFS($D$2:$D$13,$B$2:$B$13,$F3,$C$2:$C$13,G$1),"N/A")</f>
        <v>6500</v>
      </c>
      <c r="H3" s="39">
        <f t="shared" si="0"/>
        <v>3700</v>
      </c>
    </row>
    <row r="4" spans="1:8" x14ac:dyDescent="0.25">
      <c r="A4" s="22">
        <v>43741</v>
      </c>
      <c r="B4" s="1" t="s">
        <v>101</v>
      </c>
      <c r="C4" s="1" t="s">
        <v>104</v>
      </c>
      <c r="D4" s="1">
        <v>4500</v>
      </c>
      <c r="F4" s="23" t="s">
        <v>158</v>
      </c>
      <c r="G4" s="39">
        <f t="shared" si="0"/>
        <v>2983.3333333333335</v>
      </c>
      <c r="H4" s="39">
        <f t="shared" si="0"/>
        <v>2560</v>
      </c>
    </row>
    <row r="5" spans="1:8" x14ac:dyDescent="0.25">
      <c r="A5" s="22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2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2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2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2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2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2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2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2">
        <v>43750</v>
      </c>
      <c r="B13" s="1" t="s">
        <v>103</v>
      </c>
      <c r="C13" s="1" t="s">
        <v>105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zoomScale="200" zoomScaleNormal="200" workbookViewId="0">
      <selection activeCell="F5" sqref="F5"/>
    </sheetView>
  </sheetViews>
  <sheetFormatPr defaultRowHeight="15" outlineLevelRow="2" x14ac:dyDescent="0.25"/>
  <cols>
    <col min="1" max="1" width="11" bestFit="1" customWidth="1"/>
    <col min="2" max="2" width="15" bestFit="1" customWidth="1"/>
    <col min="3" max="3" width="12.140625" bestFit="1" customWidth="1"/>
    <col min="4" max="4" width="8.140625" bestFit="1" customWidth="1"/>
  </cols>
  <sheetData>
    <row r="1" spans="1:6" x14ac:dyDescent="0.25">
      <c r="A1" s="23" t="s">
        <v>98</v>
      </c>
      <c r="B1" s="23" t="s">
        <v>99</v>
      </c>
      <c r="C1" s="23" t="s">
        <v>100</v>
      </c>
      <c r="D1" s="23" t="s">
        <v>79</v>
      </c>
    </row>
    <row r="2" spans="1:6" outlineLevel="2" x14ac:dyDescent="0.25">
      <c r="A2" s="22">
        <v>43740</v>
      </c>
      <c r="B2" s="1" t="s">
        <v>102</v>
      </c>
      <c r="C2" s="1" t="s">
        <v>105</v>
      </c>
      <c r="D2" s="1">
        <v>6000</v>
      </c>
      <c r="F2">
        <f>SUBTOTAL(4,D2:D15)</f>
        <v>6500</v>
      </c>
    </row>
    <row r="3" spans="1:6" outlineLevel="2" x14ac:dyDescent="0.25">
      <c r="A3" s="22">
        <v>43742</v>
      </c>
      <c r="B3" s="1" t="s">
        <v>102</v>
      </c>
      <c r="C3" s="1" t="s">
        <v>104</v>
      </c>
      <c r="D3" s="1">
        <v>6500</v>
      </c>
      <c r="F3">
        <f>SUBTOTAL(9,D2:D15)</f>
        <v>43760</v>
      </c>
    </row>
    <row r="4" spans="1:6" outlineLevel="2" x14ac:dyDescent="0.25">
      <c r="A4" s="22">
        <v>43745</v>
      </c>
      <c r="B4" s="1" t="s">
        <v>102</v>
      </c>
      <c r="C4" s="1" t="s">
        <v>105</v>
      </c>
      <c r="D4" s="1">
        <v>4500</v>
      </c>
    </row>
    <row r="5" spans="1:6" outlineLevel="2" x14ac:dyDescent="0.25">
      <c r="A5" s="22">
        <v>43746</v>
      </c>
      <c r="B5" s="1" t="s">
        <v>102</v>
      </c>
      <c r="C5" s="1" t="s">
        <v>105</v>
      </c>
      <c r="D5" s="1">
        <v>600</v>
      </c>
    </row>
    <row r="6" spans="1:6" outlineLevel="1" x14ac:dyDescent="0.25">
      <c r="A6" s="22"/>
      <c r="B6" s="41" t="s">
        <v>172</v>
      </c>
      <c r="C6" s="1">
        <f>SUBTOTAL(9,C2:C5)</f>
        <v>0</v>
      </c>
      <c r="D6" s="1">
        <f>SUBTOTAL(9,D2:D5)</f>
        <v>17600</v>
      </c>
    </row>
    <row r="7" spans="1:6" outlineLevel="2" x14ac:dyDescent="0.25">
      <c r="A7" s="22">
        <v>43744</v>
      </c>
      <c r="B7" s="1" t="s">
        <v>103</v>
      </c>
      <c r="C7" s="1" t="s">
        <v>104</v>
      </c>
      <c r="D7" s="1">
        <v>6000</v>
      </c>
    </row>
    <row r="8" spans="1:6" outlineLevel="2" x14ac:dyDescent="0.25">
      <c r="A8" s="22">
        <v>43747</v>
      </c>
      <c r="B8" s="1" t="s">
        <v>103</v>
      </c>
      <c r="C8" s="1" t="s">
        <v>104</v>
      </c>
      <c r="D8" s="1">
        <v>1500</v>
      </c>
    </row>
    <row r="9" spans="1:6" outlineLevel="2" x14ac:dyDescent="0.25">
      <c r="A9" s="22">
        <v>43748</v>
      </c>
      <c r="B9" s="1" t="s">
        <v>103</v>
      </c>
      <c r="C9" s="1" t="s">
        <v>104</v>
      </c>
      <c r="D9" s="1">
        <v>1450</v>
      </c>
    </row>
    <row r="10" spans="1:6" outlineLevel="2" x14ac:dyDescent="0.25">
      <c r="A10" s="22">
        <v>43750</v>
      </c>
      <c r="B10" s="1" t="s">
        <v>103</v>
      </c>
      <c r="C10" s="1" t="s">
        <v>104</v>
      </c>
      <c r="D10" s="1">
        <v>2560</v>
      </c>
    </row>
    <row r="11" spans="1:6" outlineLevel="1" x14ac:dyDescent="0.25">
      <c r="A11" s="22"/>
      <c r="B11" s="41" t="s">
        <v>173</v>
      </c>
      <c r="C11" s="1">
        <f>SUBTOTAL(9,C7:C10)</f>
        <v>0</v>
      </c>
      <c r="D11" s="1">
        <f>SUBTOTAL(9,D7:D10)</f>
        <v>11510</v>
      </c>
    </row>
    <row r="12" spans="1:6" outlineLevel="2" x14ac:dyDescent="0.25">
      <c r="A12" s="22">
        <v>43739</v>
      </c>
      <c r="B12" s="1" t="s">
        <v>101</v>
      </c>
      <c r="C12" s="1" t="s">
        <v>104</v>
      </c>
      <c r="D12" s="1">
        <v>5000</v>
      </c>
    </row>
    <row r="13" spans="1:6" outlineLevel="2" x14ac:dyDescent="0.25">
      <c r="A13" s="22">
        <v>43741</v>
      </c>
      <c r="B13" s="1" t="s">
        <v>101</v>
      </c>
      <c r="C13" s="1" t="s">
        <v>104</v>
      </c>
      <c r="D13" s="1">
        <v>4500</v>
      </c>
    </row>
    <row r="14" spans="1:6" outlineLevel="2" x14ac:dyDescent="0.25">
      <c r="A14" s="22">
        <v>43743</v>
      </c>
      <c r="B14" s="1" t="s">
        <v>101</v>
      </c>
      <c r="C14" s="1" t="s">
        <v>105</v>
      </c>
      <c r="D14" s="1">
        <v>4500</v>
      </c>
    </row>
    <row r="15" spans="1:6" outlineLevel="2" x14ac:dyDescent="0.25">
      <c r="A15" s="22">
        <v>43749</v>
      </c>
      <c r="B15" s="1" t="s">
        <v>101</v>
      </c>
      <c r="C15" s="1" t="s">
        <v>105</v>
      </c>
      <c r="D15" s="1">
        <v>650</v>
      </c>
    </row>
    <row r="16" spans="1:6" outlineLevel="1" x14ac:dyDescent="0.25">
      <c r="A16" s="40"/>
      <c r="B16" s="42" t="s">
        <v>174</v>
      </c>
      <c r="C16" s="33">
        <f>SUBTOTAL(9,C12:C15)</f>
        <v>0</v>
      </c>
      <c r="D16" s="33">
        <f>SUBTOTAL(9,D12:D15)</f>
        <v>14650</v>
      </c>
    </row>
    <row r="17" spans="1:4" x14ac:dyDescent="0.25">
      <c r="A17" s="40"/>
      <c r="B17" s="42" t="s">
        <v>171</v>
      </c>
      <c r="C17" s="33">
        <f>SUBTOTAL(9,C2:C15)</f>
        <v>0</v>
      </c>
      <c r="D17" s="33">
        <f>SUBTOTAL(9,D2:D15)</f>
        <v>43760</v>
      </c>
    </row>
  </sheetData>
  <sortState xmlns:xlrd2="http://schemas.microsoft.com/office/spreadsheetml/2017/richdata2" ref="A2:D15">
    <sortCondition ref="B2:B15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zoomScale="200" zoomScaleNormal="200" workbookViewId="0">
      <selection activeCell="G11" sqref="G11"/>
    </sheetView>
  </sheetViews>
  <sheetFormatPr defaultRowHeight="15" x14ac:dyDescent="0.25"/>
  <cols>
    <col min="1" max="1" width="10.42578125" bestFit="1" customWidth="1"/>
    <col min="2" max="2" width="11.5703125" customWidth="1"/>
    <col min="4" max="4" width="16.140625" bestFit="1" customWidth="1"/>
    <col min="5" max="5" width="12.5703125" bestFit="1" customWidth="1"/>
  </cols>
  <sheetData>
    <row r="1" spans="1:5" x14ac:dyDescent="0.25">
      <c r="A1" s="23" t="s">
        <v>98</v>
      </c>
      <c r="B1" s="23" t="s">
        <v>160</v>
      </c>
      <c r="C1" s="23" t="s">
        <v>161</v>
      </c>
      <c r="D1" s="23" t="s">
        <v>114</v>
      </c>
      <c r="E1" s="28" t="s">
        <v>106</v>
      </c>
    </row>
    <row r="2" spans="1:5" x14ac:dyDescent="0.25">
      <c r="A2" s="22">
        <v>43739</v>
      </c>
      <c r="B2" s="1" t="s">
        <v>126</v>
      </c>
      <c r="C2" s="1">
        <v>500</v>
      </c>
      <c r="D2" s="1">
        <v>450</v>
      </c>
      <c r="E2">
        <f>PRODUCT(C2,D2)</f>
        <v>225000</v>
      </c>
    </row>
    <row r="3" spans="1:5" x14ac:dyDescent="0.25">
      <c r="A3" s="22">
        <v>43740</v>
      </c>
      <c r="B3" s="1" t="s">
        <v>115</v>
      </c>
      <c r="C3" s="1">
        <v>600</v>
      </c>
      <c r="D3" s="1">
        <v>950</v>
      </c>
      <c r="E3">
        <f t="shared" ref="E3:E13" si="0">PRODUCT(C3,D3)</f>
        <v>570000</v>
      </c>
    </row>
    <row r="4" spans="1:5" x14ac:dyDescent="0.25">
      <c r="A4" s="22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</row>
    <row r="5" spans="1:5" x14ac:dyDescent="0.25">
      <c r="A5" s="22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</row>
    <row r="6" spans="1:5" x14ac:dyDescent="0.25">
      <c r="A6" s="22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</row>
    <row r="7" spans="1:5" x14ac:dyDescent="0.25">
      <c r="A7" s="22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</row>
    <row r="8" spans="1:5" x14ac:dyDescent="0.25">
      <c r="A8" s="22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</row>
    <row r="9" spans="1:5" x14ac:dyDescent="0.25">
      <c r="A9" s="22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</row>
    <row r="10" spans="1:5" x14ac:dyDescent="0.25">
      <c r="A10" s="22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</row>
    <row r="11" spans="1:5" x14ac:dyDescent="0.25">
      <c r="A11" s="22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</row>
    <row r="12" spans="1:5" x14ac:dyDescent="0.25">
      <c r="A12" s="22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</row>
    <row r="13" spans="1:5" x14ac:dyDescent="0.25">
      <c r="A13" s="22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</row>
    <row r="14" spans="1:5" x14ac:dyDescent="0.25">
      <c r="E14">
        <f>SUM(E2:E13)</f>
        <v>4942500</v>
      </c>
    </row>
    <row r="15" spans="1:5" x14ac:dyDescent="0.25">
      <c r="D15" s="43" t="s">
        <v>175</v>
      </c>
      <c r="E15" s="43">
        <f>SUMPRODUCT(D2:D13,C2:C13)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zoomScale="200" zoomScaleNormal="200" workbookViewId="0">
      <selection activeCell="D14" sqref="D14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3.28515625" bestFit="1" customWidth="1"/>
    <col min="4" max="4" width="7.28515625" bestFit="1" customWidth="1"/>
  </cols>
  <sheetData>
    <row r="1" spans="1:7" x14ac:dyDescent="0.25">
      <c r="A1" s="23" t="s">
        <v>98</v>
      </c>
      <c r="B1" s="23" t="s">
        <v>127</v>
      </c>
      <c r="C1" s="23" t="s">
        <v>128</v>
      </c>
      <c r="D1" s="23" t="s">
        <v>129</v>
      </c>
      <c r="G1" s="29" t="s">
        <v>162</v>
      </c>
    </row>
    <row r="2" spans="1:7" x14ac:dyDescent="0.25">
      <c r="A2" s="22">
        <v>43739</v>
      </c>
      <c r="B2" s="2" t="s">
        <v>3</v>
      </c>
      <c r="C2" s="1">
        <v>15000</v>
      </c>
      <c r="D2" t="str">
        <f>IF($C2&gt;=$F$2, "Yes", "No")</f>
        <v>No</v>
      </c>
      <c r="F2">
        <v>20000</v>
      </c>
    </row>
    <row r="3" spans="1:7" x14ac:dyDescent="0.25">
      <c r="A3" s="22">
        <v>43740</v>
      </c>
      <c r="B3" s="2" t="s">
        <v>4</v>
      </c>
      <c r="C3" s="1">
        <v>16000</v>
      </c>
      <c r="D3" t="str">
        <f t="shared" ref="D3:D13" si="0">IF($C3&gt;=$F$2, "Yes", "No")</f>
        <v>No</v>
      </c>
    </row>
    <row r="4" spans="1:7" x14ac:dyDescent="0.25">
      <c r="A4" s="22">
        <v>43741</v>
      </c>
      <c r="B4" s="2" t="s">
        <v>5</v>
      </c>
      <c r="C4" s="1">
        <v>18000</v>
      </c>
      <c r="D4" t="str">
        <f t="shared" si="0"/>
        <v>No</v>
      </c>
    </row>
    <row r="5" spans="1:7" x14ac:dyDescent="0.25">
      <c r="A5" s="22">
        <v>43742</v>
      </c>
      <c r="B5" s="2" t="s">
        <v>6</v>
      </c>
      <c r="C5" s="1">
        <v>19000</v>
      </c>
      <c r="D5" t="str">
        <f t="shared" si="0"/>
        <v>No</v>
      </c>
    </row>
    <row r="6" spans="1:7" x14ac:dyDescent="0.25">
      <c r="A6" s="22">
        <v>43743</v>
      </c>
      <c r="B6" s="2" t="s">
        <v>7</v>
      </c>
      <c r="C6" s="1">
        <v>25000</v>
      </c>
      <c r="D6" t="str">
        <f t="shared" si="0"/>
        <v>Yes</v>
      </c>
    </row>
    <row r="7" spans="1:7" x14ac:dyDescent="0.25">
      <c r="A7" s="22">
        <v>43744</v>
      </c>
      <c r="B7" s="2" t="s">
        <v>8</v>
      </c>
      <c r="C7" s="1">
        <v>22000</v>
      </c>
      <c r="D7" t="str">
        <f t="shared" si="0"/>
        <v>Yes</v>
      </c>
    </row>
    <row r="8" spans="1:7" x14ac:dyDescent="0.25">
      <c r="A8" s="22">
        <v>43745</v>
      </c>
      <c r="B8" s="2" t="s">
        <v>9</v>
      </c>
      <c r="C8" s="1">
        <v>15000</v>
      </c>
      <c r="D8" t="str">
        <f t="shared" si="0"/>
        <v>No</v>
      </c>
    </row>
    <row r="9" spans="1:7" x14ac:dyDescent="0.25">
      <c r="A9" s="22">
        <v>43746</v>
      </c>
      <c r="B9" s="2" t="s">
        <v>12</v>
      </c>
      <c r="C9" s="1">
        <v>35000</v>
      </c>
      <c r="D9" t="str">
        <f t="shared" si="0"/>
        <v>Yes</v>
      </c>
    </row>
    <row r="10" spans="1:7" x14ac:dyDescent="0.25">
      <c r="A10" s="22">
        <v>43747</v>
      </c>
      <c r="B10" s="2" t="s">
        <v>10</v>
      </c>
      <c r="C10" s="1">
        <v>15000</v>
      </c>
      <c r="D10" t="str">
        <f t="shared" si="0"/>
        <v>No</v>
      </c>
    </row>
    <row r="11" spans="1:7" x14ac:dyDescent="0.25">
      <c r="A11" s="22">
        <v>43748</v>
      </c>
      <c r="B11" s="2" t="s">
        <v>13</v>
      </c>
      <c r="C11" s="1">
        <v>35000</v>
      </c>
      <c r="D11" t="str">
        <f t="shared" si="0"/>
        <v>Yes</v>
      </c>
    </row>
    <row r="12" spans="1:7" x14ac:dyDescent="0.25">
      <c r="A12" s="22">
        <v>43749</v>
      </c>
      <c r="B12" s="2" t="s">
        <v>14</v>
      </c>
      <c r="C12" s="1">
        <v>18000</v>
      </c>
      <c r="D12" t="str">
        <f t="shared" si="0"/>
        <v>No</v>
      </c>
    </row>
    <row r="13" spans="1:7" x14ac:dyDescent="0.25">
      <c r="A13" s="22">
        <v>43750</v>
      </c>
      <c r="B13" s="2" t="s">
        <v>15</v>
      </c>
      <c r="C13" s="1">
        <v>21000</v>
      </c>
      <c r="D13" t="str">
        <f t="shared" si="0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"/>
  <sheetViews>
    <sheetView zoomScale="200" zoomScaleNormal="200" workbookViewId="0">
      <selection activeCell="F1" sqref="F1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5" max="5" width="11.28515625" bestFit="1" customWidth="1"/>
    <col min="8" max="8" width="9.7109375" bestFit="1" customWidth="1"/>
  </cols>
  <sheetData>
    <row r="1" spans="1:9" x14ac:dyDescent="0.25">
      <c r="A1" s="23" t="s">
        <v>98</v>
      </c>
      <c r="B1" s="23" t="s">
        <v>127</v>
      </c>
      <c r="C1" s="23" t="s">
        <v>130</v>
      </c>
      <c r="D1" s="23" t="s">
        <v>128</v>
      </c>
      <c r="E1" s="23" t="s">
        <v>177</v>
      </c>
      <c r="F1" s="28" t="s">
        <v>176</v>
      </c>
      <c r="H1" s="30" t="s">
        <v>130</v>
      </c>
      <c r="I1" s="30" t="s">
        <v>163</v>
      </c>
    </row>
    <row r="2" spans="1:9" x14ac:dyDescent="0.25">
      <c r="A2" s="22">
        <v>43739</v>
      </c>
      <c r="B2" s="2" t="s">
        <v>3</v>
      </c>
      <c r="C2" s="2" t="s">
        <v>131</v>
      </c>
      <c r="D2" s="1">
        <v>15000</v>
      </c>
      <c r="H2" t="s">
        <v>131</v>
      </c>
      <c r="I2" t="s">
        <v>164</v>
      </c>
    </row>
    <row r="3" spans="1:9" x14ac:dyDescent="0.25">
      <c r="A3" s="22">
        <v>43740</v>
      </c>
      <c r="B3" s="2" t="s">
        <v>4</v>
      </c>
      <c r="C3" s="2" t="s">
        <v>132</v>
      </c>
      <c r="D3" s="1">
        <v>16000</v>
      </c>
    </row>
    <row r="4" spans="1:9" x14ac:dyDescent="0.25">
      <c r="A4" s="22">
        <v>43741</v>
      </c>
      <c r="B4" s="2" t="s">
        <v>5</v>
      </c>
      <c r="C4" s="2" t="s">
        <v>131</v>
      </c>
      <c r="D4" s="1">
        <v>18000</v>
      </c>
    </row>
    <row r="5" spans="1:9" x14ac:dyDescent="0.25">
      <c r="A5" s="22">
        <v>43742</v>
      </c>
      <c r="B5" s="2" t="s">
        <v>6</v>
      </c>
      <c r="C5" s="2" t="s">
        <v>133</v>
      </c>
      <c r="D5" s="1">
        <v>19000</v>
      </c>
    </row>
    <row r="6" spans="1:9" x14ac:dyDescent="0.25">
      <c r="A6" s="22">
        <v>43743</v>
      </c>
      <c r="B6" s="2" t="s">
        <v>7</v>
      </c>
      <c r="C6" s="2" t="s">
        <v>134</v>
      </c>
      <c r="D6" s="1">
        <v>25000</v>
      </c>
    </row>
    <row r="7" spans="1:9" x14ac:dyDescent="0.25">
      <c r="A7" s="22">
        <v>43744</v>
      </c>
      <c r="B7" s="2" t="s">
        <v>8</v>
      </c>
      <c r="C7" s="2" t="s">
        <v>131</v>
      </c>
      <c r="D7" s="1">
        <v>22000</v>
      </c>
    </row>
    <row r="8" spans="1:9" x14ac:dyDescent="0.25">
      <c r="A8" s="22">
        <v>43745</v>
      </c>
      <c r="B8" s="2" t="s">
        <v>9</v>
      </c>
      <c r="C8" s="2" t="s">
        <v>132</v>
      </c>
      <c r="D8" s="1">
        <v>15000</v>
      </c>
    </row>
    <row r="9" spans="1:9" x14ac:dyDescent="0.25">
      <c r="A9" s="22">
        <v>43746</v>
      </c>
      <c r="B9" s="2" t="s">
        <v>12</v>
      </c>
      <c r="C9" s="2" t="s">
        <v>131</v>
      </c>
      <c r="D9" s="1">
        <v>35000</v>
      </c>
    </row>
    <row r="10" spans="1:9" x14ac:dyDescent="0.25">
      <c r="A10" s="22">
        <v>43747</v>
      </c>
      <c r="B10" s="2" t="s">
        <v>10</v>
      </c>
      <c r="C10" s="2" t="s">
        <v>134</v>
      </c>
      <c r="D10" s="1">
        <v>15000</v>
      </c>
    </row>
    <row r="11" spans="1:9" x14ac:dyDescent="0.25">
      <c r="A11" s="22">
        <v>43748</v>
      </c>
      <c r="B11" s="2" t="s">
        <v>13</v>
      </c>
      <c r="C11" s="2" t="s">
        <v>134</v>
      </c>
      <c r="D11" s="1">
        <v>35000</v>
      </c>
    </row>
    <row r="12" spans="1:9" x14ac:dyDescent="0.25">
      <c r="A12" s="22">
        <v>43749</v>
      </c>
      <c r="B12" s="2" t="s">
        <v>14</v>
      </c>
      <c r="C12" s="2" t="s">
        <v>134</v>
      </c>
      <c r="D12" s="1">
        <v>18000</v>
      </c>
    </row>
    <row r="13" spans="1:9" x14ac:dyDescent="0.25">
      <c r="A13" s="22">
        <v>43750</v>
      </c>
      <c r="B13" s="2" t="s">
        <v>15</v>
      </c>
      <c r="C13" s="2" t="s">
        <v>134</v>
      </c>
      <c r="D13" s="1">
        <v>21000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200" zoomScaleNormal="200" workbookViewId="0">
      <selection activeCell="D3" sqref="D3"/>
    </sheetView>
  </sheetViews>
  <sheetFormatPr defaultRowHeight="15" x14ac:dyDescent="0.25"/>
  <cols>
    <col min="1" max="1" width="11" bestFit="1" customWidth="1"/>
    <col min="2" max="2" width="15.5703125" bestFit="1" customWidth="1"/>
    <col min="3" max="3" width="12" bestFit="1" customWidth="1"/>
    <col min="4" max="4" width="13.28515625" bestFit="1" customWidth="1"/>
    <col min="5" max="5" width="7.28515625" bestFit="1" customWidth="1"/>
    <col min="7" max="7" width="11.28515625" bestFit="1" customWidth="1"/>
  </cols>
  <sheetData>
    <row r="1" spans="1:8" x14ac:dyDescent="0.25">
      <c r="A1" s="23" t="s">
        <v>98</v>
      </c>
      <c r="B1" s="23" t="s">
        <v>127</v>
      </c>
      <c r="C1" s="23" t="s">
        <v>130</v>
      </c>
      <c r="D1" s="23" t="s">
        <v>128</v>
      </c>
      <c r="E1" s="23" t="s">
        <v>129</v>
      </c>
      <c r="G1" s="30" t="s">
        <v>131</v>
      </c>
      <c r="H1">
        <v>5000</v>
      </c>
    </row>
    <row r="2" spans="1:8" x14ac:dyDescent="0.25">
      <c r="A2" s="22">
        <v>43739</v>
      </c>
      <c r="B2" s="2" t="s">
        <v>3</v>
      </c>
      <c r="C2" s="2" t="s">
        <v>131</v>
      </c>
      <c r="D2" s="1">
        <v>15000</v>
      </c>
      <c r="E2">
        <f>IF(C2="Manager",5000,IF(C2="Supervisor",3000,IF(C2="Clerk",2500,IF(C2="Peon",2000,""))))</f>
        <v>5000</v>
      </c>
    </row>
    <row r="3" spans="1:8" x14ac:dyDescent="0.25">
      <c r="A3" s="22">
        <v>43740</v>
      </c>
      <c r="B3" s="2" t="s">
        <v>4</v>
      </c>
      <c r="C3" s="2" t="s">
        <v>132</v>
      </c>
      <c r="D3" s="1">
        <v>16000</v>
      </c>
      <c r="E3">
        <f t="shared" ref="E3:E13" si="0">IF(C3="Manager",5000,IF(C3="Supervisor",3000,IF(C3="Clerk",2500,IF(C3="Peon",2000,""))))</f>
        <v>3000</v>
      </c>
      <c r="G3" s="30" t="s">
        <v>132</v>
      </c>
      <c r="H3">
        <v>3000</v>
      </c>
    </row>
    <row r="4" spans="1:8" x14ac:dyDescent="0.25">
      <c r="A4" s="22">
        <v>43741</v>
      </c>
      <c r="B4" s="2" t="s">
        <v>5</v>
      </c>
      <c r="C4" s="2" t="s">
        <v>131</v>
      </c>
      <c r="D4" s="1">
        <v>18000</v>
      </c>
      <c r="E4">
        <f t="shared" si="0"/>
        <v>5000</v>
      </c>
    </row>
    <row r="5" spans="1:8" x14ac:dyDescent="0.25">
      <c r="A5" s="22">
        <v>43742</v>
      </c>
      <c r="B5" s="2" t="s">
        <v>6</v>
      </c>
      <c r="C5" s="2" t="s">
        <v>133</v>
      </c>
      <c r="D5" s="1">
        <v>19000</v>
      </c>
      <c r="E5">
        <f t="shared" si="0"/>
        <v>2000</v>
      </c>
      <c r="G5" s="30" t="s">
        <v>134</v>
      </c>
      <c r="H5">
        <v>2500</v>
      </c>
    </row>
    <row r="6" spans="1:8" x14ac:dyDescent="0.25">
      <c r="A6" s="22">
        <v>43743</v>
      </c>
      <c r="B6" s="2" t="s">
        <v>7</v>
      </c>
      <c r="C6" s="2" t="s">
        <v>134</v>
      </c>
      <c r="D6" s="1">
        <v>25000</v>
      </c>
      <c r="E6">
        <f t="shared" si="0"/>
        <v>2500</v>
      </c>
    </row>
    <row r="7" spans="1:8" x14ac:dyDescent="0.25">
      <c r="A7" s="22">
        <v>43744</v>
      </c>
      <c r="B7" s="2" t="s">
        <v>8</v>
      </c>
      <c r="C7" s="2" t="s">
        <v>131</v>
      </c>
      <c r="D7" s="1">
        <v>22000</v>
      </c>
      <c r="E7">
        <f t="shared" si="0"/>
        <v>5000</v>
      </c>
      <c r="G7" s="30" t="s">
        <v>133</v>
      </c>
      <c r="H7">
        <v>2000</v>
      </c>
    </row>
    <row r="8" spans="1:8" x14ac:dyDescent="0.25">
      <c r="A8" s="22">
        <v>43745</v>
      </c>
      <c r="B8" s="2" t="s">
        <v>9</v>
      </c>
      <c r="C8" s="2" t="s">
        <v>132</v>
      </c>
      <c r="D8" s="1">
        <v>15000</v>
      </c>
      <c r="E8">
        <f t="shared" si="0"/>
        <v>3000</v>
      </c>
    </row>
    <row r="9" spans="1:8" x14ac:dyDescent="0.25">
      <c r="A9" s="22">
        <v>43746</v>
      </c>
      <c r="B9" s="2" t="s">
        <v>12</v>
      </c>
      <c r="C9" s="2" t="s">
        <v>131</v>
      </c>
      <c r="D9" s="1">
        <v>35000</v>
      </c>
      <c r="E9">
        <f t="shared" si="0"/>
        <v>5000</v>
      </c>
    </row>
    <row r="10" spans="1:8" x14ac:dyDescent="0.25">
      <c r="A10" s="22">
        <v>43747</v>
      </c>
      <c r="B10" s="2" t="s">
        <v>10</v>
      </c>
      <c r="C10" s="2" t="s">
        <v>134</v>
      </c>
      <c r="D10" s="1">
        <v>15000</v>
      </c>
      <c r="E10">
        <f t="shared" si="0"/>
        <v>2500</v>
      </c>
    </row>
    <row r="11" spans="1:8" x14ac:dyDescent="0.25">
      <c r="A11" s="22">
        <v>43748</v>
      </c>
      <c r="B11" s="2" t="s">
        <v>13</v>
      </c>
      <c r="C11" s="2" t="s">
        <v>134</v>
      </c>
      <c r="D11" s="1">
        <v>35000</v>
      </c>
      <c r="E11">
        <f t="shared" si="0"/>
        <v>2500</v>
      </c>
    </row>
    <row r="12" spans="1:8" x14ac:dyDescent="0.25">
      <c r="A12" s="22">
        <v>43749</v>
      </c>
      <c r="B12" s="2" t="s">
        <v>14</v>
      </c>
      <c r="C12" s="2" t="s">
        <v>134</v>
      </c>
      <c r="D12" s="1">
        <v>18000</v>
      </c>
      <c r="E12">
        <f t="shared" si="0"/>
        <v>2500</v>
      </c>
    </row>
    <row r="13" spans="1:8" x14ac:dyDescent="0.25">
      <c r="A13" s="22">
        <v>43750</v>
      </c>
      <c r="B13" s="2" t="s">
        <v>15</v>
      </c>
      <c r="C13" s="2" t="s">
        <v>134</v>
      </c>
      <c r="D13" s="1">
        <v>21000</v>
      </c>
      <c r="E13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"/>
  <sheetViews>
    <sheetView topLeftCell="B1" zoomScale="200" zoomScaleNormal="200" workbookViewId="0">
      <selection activeCell="K7" sqref="K7"/>
    </sheetView>
  </sheetViews>
  <sheetFormatPr defaultRowHeight="15" x14ac:dyDescent="0.25"/>
  <cols>
    <col min="1" max="1" width="19.7109375" customWidth="1"/>
    <col min="6" max="6" width="19.42578125" customWidth="1"/>
    <col min="7" max="7" width="12.5703125" customWidth="1"/>
    <col min="8" max="8" width="15.42578125" customWidth="1"/>
    <col min="9" max="9" width="12.140625" bestFit="1" customWidth="1"/>
    <col min="10" max="10" width="18.28515625" bestFit="1" customWidth="1"/>
  </cols>
  <sheetData>
    <row r="1" spans="1:10" x14ac:dyDescent="0.25">
      <c r="A1" s="23" t="s">
        <v>135</v>
      </c>
      <c r="B1" s="44" t="s">
        <v>165</v>
      </c>
      <c r="C1" s="44" t="s">
        <v>166</v>
      </c>
      <c r="D1" s="44" t="s">
        <v>167</v>
      </c>
      <c r="F1" s="23" t="s">
        <v>135</v>
      </c>
      <c r="G1" s="29" t="s">
        <v>186</v>
      </c>
      <c r="H1" s="29" t="s">
        <v>187</v>
      </c>
      <c r="I1" s="29" t="s">
        <v>188</v>
      </c>
      <c r="J1" s="29" t="s">
        <v>189</v>
      </c>
    </row>
    <row r="2" spans="1:10" x14ac:dyDescent="0.25">
      <c r="A2" s="2" t="s">
        <v>136</v>
      </c>
      <c r="B2" t="str">
        <f>LEFT(A2,6)</f>
        <v>Mumbai</v>
      </c>
      <c r="C2" t="str">
        <f>RIGHT(A2,6)</f>
        <v>400086</v>
      </c>
      <c r="D2" t="str">
        <f>MID(A2,7,2)</f>
        <v xml:space="preserve"> -</v>
      </c>
      <c r="F2" s="2" t="s">
        <v>178</v>
      </c>
      <c r="G2" t="str">
        <f>LEFT(F2,FIND(" ",F2,1)-1)</f>
        <v>Mumbai</v>
      </c>
      <c r="H2" t="str">
        <f>RIGHT(F2,LEN(F2)-FIND("-",F2,1))</f>
        <v>40008697</v>
      </c>
      <c r="I2" t="str">
        <f>MID(F2,1,FIND(" ",F2,1))</f>
        <v xml:space="preserve">Mumbai </v>
      </c>
      <c r="J2" t="str">
        <f>MID(F2,FIND(" ",F2,1)+2,100)</f>
        <v>40008697</v>
      </c>
    </row>
    <row r="3" spans="1:10" x14ac:dyDescent="0.25">
      <c r="A3" s="2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MID(A3,7,2)</f>
        <v xml:space="preserve"> -</v>
      </c>
      <c r="F3" s="2" t="s">
        <v>179</v>
      </c>
      <c r="G3" t="str">
        <f t="shared" ref="G3:G13" si="3">LEFT(F3,FIND(" ",F3,1)-1)</f>
        <v>Delhi</v>
      </c>
      <c r="H3" t="str">
        <f t="shared" ref="H3:H13" si="4">RIGHT(F3,LEN(F3)-FIND("-",F3,1))</f>
        <v>400087553</v>
      </c>
      <c r="I3" t="str">
        <f t="shared" ref="I3:I13" si="5">MID(F3,1,FIND(" ",F3,1))</f>
        <v xml:space="preserve">Delhi </v>
      </c>
      <c r="J3" t="str">
        <f t="shared" ref="J3:J13" si="6">MID(F3,FIND(" ",F3,1)+2,100)</f>
        <v>400087553</v>
      </c>
    </row>
    <row r="4" spans="1:10" x14ac:dyDescent="0.25">
      <c r="A4" s="2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 xml:space="preserve"> -</v>
      </c>
      <c r="F4" s="2" t="s">
        <v>148</v>
      </c>
      <c r="G4" t="str">
        <f t="shared" si="3"/>
        <v>Pune</v>
      </c>
      <c r="H4" t="str">
        <f t="shared" si="4"/>
        <v>400088</v>
      </c>
      <c r="I4" t="str">
        <f t="shared" si="5"/>
        <v xml:space="preserve">Pune </v>
      </c>
      <c r="J4" t="str">
        <f t="shared" si="6"/>
        <v>400088</v>
      </c>
    </row>
    <row r="5" spans="1:10" x14ac:dyDescent="0.25">
      <c r="A5" s="2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 xml:space="preserve"> -</v>
      </c>
      <c r="F5" s="2" t="s">
        <v>180</v>
      </c>
      <c r="G5" t="str">
        <f t="shared" si="3"/>
        <v>Chennai</v>
      </c>
      <c r="H5" t="str">
        <f t="shared" si="4"/>
        <v>4000894</v>
      </c>
      <c r="I5" t="str">
        <f t="shared" si="5"/>
        <v xml:space="preserve">Chennai </v>
      </c>
      <c r="J5" t="str">
        <f t="shared" si="6"/>
        <v>4000894</v>
      </c>
    </row>
    <row r="6" spans="1:10" x14ac:dyDescent="0.25">
      <c r="A6" s="2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 xml:space="preserve"> -</v>
      </c>
      <c r="F6" s="2" t="s">
        <v>181</v>
      </c>
      <c r="G6" t="str">
        <f t="shared" si="3"/>
        <v>Alhabad</v>
      </c>
      <c r="H6" t="str">
        <f t="shared" si="4"/>
        <v>4000904656</v>
      </c>
      <c r="I6" t="str">
        <f t="shared" si="5"/>
        <v xml:space="preserve">Alhabad </v>
      </c>
      <c r="J6" t="str">
        <f t="shared" si="6"/>
        <v>4000904656</v>
      </c>
    </row>
    <row r="7" spans="1:10" x14ac:dyDescent="0.25">
      <c r="A7" s="2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 xml:space="preserve"> -</v>
      </c>
      <c r="F7" s="2" t="s">
        <v>182</v>
      </c>
      <c r="G7" t="str">
        <f t="shared" si="3"/>
        <v>Surat</v>
      </c>
      <c r="H7" t="str">
        <f t="shared" si="4"/>
        <v>400</v>
      </c>
      <c r="I7" t="str">
        <f t="shared" si="5"/>
        <v xml:space="preserve">Surat </v>
      </c>
      <c r="J7" t="str">
        <f t="shared" si="6"/>
        <v>400</v>
      </c>
    </row>
    <row r="8" spans="1:10" x14ac:dyDescent="0.25">
      <c r="A8" s="2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 xml:space="preserve"> -</v>
      </c>
      <c r="F8" s="2" t="s">
        <v>168</v>
      </c>
      <c r="G8" t="str">
        <f t="shared" si="3"/>
        <v>Ahmedabad</v>
      </c>
      <c r="H8" t="str">
        <f t="shared" si="4"/>
        <v>400092</v>
      </c>
      <c r="I8" t="str">
        <f t="shared" si="5"/>
        <v xml:space="preserve">Ahmedabad </v>
      </c>
      <c r="J8" t="str">
        <f t="shared" si="6"/>
        <v>400092</v>
      </c>
    </row>
    <row r="9" spans="1:10" x14ac:dyDescent="0.25">
      <c r="A9" s="2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 xml:space="preserve"> -</v>
      </c>
      <c r="F9" s="2" t="s">
        <v>183</v>
      </c>
      <c r="G9" t="str">
        <f t="shared" si="3"/>
        <v>Punji</v>
      </c>
      <c r="H9" t="str">
        <f t="shared" si="4"/>
        <v>4000934654</v>
      </c>
      <c r="I9" t="str">
        <f t="shared" si="5"/>
        <v xml:space="preserve">Punji </v>
      </c>
      <c r="J9" t="str">
        <f t="shared" si="6"/>
        <v>4000934654</v>
      </c>
    </row>
    <row r="10" spans="1:10" x14ac:dyDescent="0.25">
      <c r="A10" s="2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 xml:space="preserve"> -</v>
      </c>
      <c r="F10" s="2" t="s">
        <v>184</v>
      </c>
      <c r="G10" t="str">
        <f t="shared" si="3"/>
        <v>Bhopal</v>
      </c>
      <c r="H10" t="str">
        <f t="shared" si="4"/>
        <v>4000944</v>
      </c>
      <c r="I10" t="str">
        <f t="shared" si="5"/>
        <v xml:space="preserve">Bhopal </v>
      </c>
      <c r="J10" t="str">
        <f t="shared" si="6"/>
        <v>4000944</v>
      </c>
    </row>
    <row r="11" spans="1:10" x14ac:dyDescent="0.25">
      <c r="A11" s="2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 xml:space="preserve"> -</v>
      </c>
      <c r="F11" s="2" t="s">
        <v>149</v>
      </c>
      <c r="G11" t="str">
        <f t="shared" si="3"/>
        <v>Ranchi</v>
      </c>
      <c r="H11" t="str">
        <f t="shared" si="4"/>
        <v>400095</v>
      </c>
      <c r="I11" t="str">
        <f t="shared" si="5"/>
        <v xml:space="preserve">Ranchi </v>
      </c>
      <c r="J11" t="str">
        <f t="shared" si="6"/>
        <v>400095</v>
      </c>
    </row>
    <row r="12" spans="1:10" x14ac:dyDescent="0.25">
      <c r="A12" s="2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 xml:space="preserve"> -</v>
      </c>
      <c r="F12" s="2" t="s">
        <v>150</v>
      </c>
      <c r="G12" t="str">
        <f t="shared" si="3"/>
        <v>Amrutsar</v>
      </c>
      <c r="H12" t="str">
        <f t="shared" si="4"/>
        <v>400096</v>
      </c>
      <c r="I12" t="str">
        <f t="shared" si="5"/>
        <v xml:space="preserve">Amrutsar </v>
      </c>
      <c r="J12" t="str">
        <f t="shared" si="6"/>
        <v>400096</v>
      </c>
    </row>
    <row r="13" spans="1:10" x14ac:dyDescent="0.25">
      <c r="A13" s="2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 xml:space="preserve"> -</v>
      </c>
      <c r="F13" s="2" t="s">
        <v>185</v>
      </c>
      <c r="G13" t="str">
        <f t="shared" si="3"/>
        <v>Kolkatta</v>
      </c>
      <c r="H13" t="str">
        <f t="shared" si="4"/>
        <v>40009746</v>
      </c>
      <c r="I13" t="str">
        <f t="shared" si="5"/>
        <v xml:space="preserve">Kolkatta </v>
      </c>
      <c r="J13" t="str">
        <f t="shared" si="6"/>
        <v>40009746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"/>
  <sheetViews>
    <sheetView tabSelected="1" zoomScale="250" zoomScaleNormal="250" workbookViewId="0">
      <selection activeCell="B7" sqref="B7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2" x14ac:dyDescent="0.25">
      <c r="A1" s="26" t="s">
        <v>156</v>
      </c>
      <c r="B1" s="26" t="s">
        <v>155</v>
      </c>
    </row>
    <row r="2" spans="1:2" ht="17.25" customHeight="1" x14ac:dyDescent="0.25">
      <c r="A2" s="27" t="s">
        <v>154</v>
      </c>
      <c r="B2" t="str">
        <f>SUBSTITUTE(A2,"-","")</f>
        <v>9812345678</v>
      </c>
    </row>
    <row r="3" spans="1:2" x14ac:dyDescent="0.25">
      <c r="A3" s="27" t="s">
        <v>153</v>
      </c>
      <c r="B3" t="str">
        <f>SUBSTITUTE(A3,", ","-")</f>
        <v>MUMBAI-400086</v>
      </c>
    </row>
    <row r="4" spans="1:2" x14ac:dyDescent="0.25">
      <c r="A4" s="27" t="s">
        <v>152</v>
      </c>
      <c r="B4" t="str">
        <f t="shared" ref="B4" si="0">SUBSTITUTE(A4,"-","")</f>
        <v>9812121212</v>
      </c>
    </row>
    <row r="5" spans="1:2" x14ac:dyDescent="0.25">
      <c r="A5" s="27" t="s">
        <v>151</v>
      </c>
      <c r="B5" t="str">
        <f>SUBSTITUTE(A5,",","-")</f>
        <v>DELHI-400001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SUBSTITUTE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Rifatul Hasan</cp:lastModifiedBy>
  <dcterms:created xsi:type="dcterms:W3CDTF">2019-10-18T01:12:53Z</dcterms:created>
  <dcterms:modified xsi:type="dcterms:W3CDTF">2026-06-23T06:29:06Z</dcterms:modified>
</cp:coreProperties>
</file>